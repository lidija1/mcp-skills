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Projekti\SandboxPlaywright\testdata\static\"/>
    </mc:Choice>
  </mc:AlternateContent>
  <xr:revisionPtr revIDLastSave="0" documentId="13_ncr:1_{0C4CE6B3-35D9-4D61-BC54-E0C61FE8F48E}" xr6:coauthVersionLast="47" xr6:coauthVersionMax="47" xr10:uidLastSave="{00000000-0000-0000-0000-000000000000}"/>
  <bookViews>
    <workbookView xWindow="-21285" yWindow="3720" windowWidth="19200" windowHeight="11175" activeTab="2" xr2:uid="{00000000-000D-0000-FFFF-FFFF00000000}"/>
  </bookViews>
  <sheets>
    <sheet name="Policy_DataDStatus" sheetId="13" r:id="rId1"/>
    <sheet name="Policy_Data" sheetId="1" r:id="rId2"/>
    <sheet name="Policy_DataPAAge" sheetId="7" r:id="rId3"/>
    <sheet name="Policy_Correction_Endt" sheetId="5" r:id="rId4"/>
    <sheet name="Sheet1" sheetId="10" r:id="rId5"/>
    <sheet name="Policy_LimiChange_Endt" sheetId="11" r:id="rId6"/>
    <sheet name="Results" sheetId="2" r:id="rId7"/>
    <sheet name="Policy_DataPA_Cancelation" sheetId="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2" l="1"/>
  <c r="E11" i="2"/>
  <c r="F10" i="2"/>
  <c r="E10" i="2"/>
  <c r="F9" i="2"/>
  <c r="E9" i="2"/>
  <c r="F8" i="2"/>
  <c r="E8" i="2"/>
  <c r="F7" i="2"/>
  <c r="E7" i="2"/>
  <c r="F6" i="2"/>
  <c r="E6" i="2"/>
  <c r="F5" i="2"/>
  <c r="E5" i="2"/>
  <c r="F4" i="2"/>
  <c r="E4" i="2"/>
  <c r="F3" i="2"/>
  <c r="E3" i="2"/>
  <c r="F2" i="2"/>
  <c r="E2" i="2"/>
</calcChain>
</file>

<file path=xl/sharedStrings.xml><?xml version="1.0" encoding="utf-8"?>
<sst xmlns="http://schemas.openxmlformats.org/spreadsheetml/2006/main" count="1125" uniqueCount="196">
  <si>
    <t>Common Data for Quotes, Customer, PolicyInformation, LocationCoverage and Rate pages</t>
  </si>
  <si>
    <t>Personal Auto Data</t>
  </si>
  <si>
    <t>TC_ID</t>
  </si>
  <si>
    <t>CustomerType</t>
  </si>
  <si>
    <t>FirstName</t>
  </si>
  <si>
    <t>LastName</t>
  </si>
  <si>
    <t>DOB</t>
  </si>
  <si>
    <t>PhoneNum</t>
  </si>
  <si>
    <t>Email</t>
  </si>
  <si>
    <t>Address</t>
  </si>
  <si>
    <t>ZIP</t>
  </si>
  <si>
    <t>Producer</t>
  </si>
  <si>
    <t>EffectiveDate</t>
  </si>
  <si>
    <t>Program</t>
  </si>
  <si>
    <t>nbCheck</t>
  </si>
  <si>
    <t>Billing Method</t>
  </si>
  <si>
    <t>False Info</t>
  </si>
  <si>
    <t>Damage Info</t>
  </si>
  <si>
    <t>Gender</t>
  </si>
  <si>
    <t>Marital Status</t>
  </si>
  <si>
    <t>Driver Status</t>
  </si>
  <si>
    <t>Employment Category</t>
  </si>
  <si>
    <t>SR-22</t>
  </si>
  <si>
    <t>Occupation</t>
  </si>
  <si>
    <t>License Status</t>
  </si>
  <si>
    <t>Vehicle Type</t>
  </si>
  <si>
    <t>Year</t>
  </si>
  <si>
    <t>Make</t>
  </si>
  <si>
    <t>Model</t>
  </si>
  <si>
    <t>Spec</t>
  </si>
  <si>
    <t>Vehicle Use</t>
  </si>
  <si>
    <t>Ownership</t>
  </si>
  <si>
    <t>Policy Coverage</t>
  </si>
  <si>
    <t>TC_ID_0001</t>
  </si>
  <si>
    <t>Individual</t>
  </si>
  <si>
    <t>Marko</t>
  </si>
  <si>
    <t>Djokovic</t>
  </si>
  <si>
    <t>11/10/1992</t>
  </si>
  <si>
    <t>921-549-5577</t>
  </si>
  <si>
    <t>230 Old Taunton Ave</t>
  </si>
  <si>
    <t>02766</t>
  </si>
  <si>
    <t>Janis Irey</t>
  </si>
  <si>
    <t>01/30/2024</t>
  </si>
  <si>
    <t>Personal Auto</t>
  </si>
  <si>
    <t>Processed</t>
  </si>
  <si>
    <t>Direct Billed</t>
  </si>
  <si>
    <t>No</t>
  </si>
  <si>
    <t>Male</t>
  </si>
  <si>
    <t>Married</t>
  </si>
  <si>
    <t>Suspended</t>
  </si>
  <si>
    <t>Active (rated)</t>
  </si>
  <si>
    <t>Employed</t>
  </si>
  <si>
    <t>Day Care</t>
  </si>
  <si>
    <t>Active License</t>
  </si>
  <si>
    <t>Private Passenger Auto</t>
  </si>
  <si>
    <t>2018</t>
  </si>
  <si>
    <t>BMW</t>
  </si>
  <si>
    <t>M3</t>
  </si>
  <si>
    <t>Convertible 2-Door | 2WD | 4.0 Ltrs | 4x2</t>
  </si>
  <si>
    <t>Pleasure</t>
  </si>
  <si>
    <t>Owned</t>
  </si>
  <si>
    <t>Gold</t>
  </si>
  <si>
    <t>TC_ID_0002</t>
  </si>
  <si>
    <t>John</t>
  </si>
  <si>
    <t>Doe</t>
  </si>
  <si>
    <t>422-618-1192</t>
  </si>
  <si>
    <t>123 Maple Street</t>
  </si>
  <si>
    <t>01101</t>
  </si>
  <si>
    <t>Female</t>
  </si>
  <si>
    <t>TC_ID_0003</t>
  </si>
  <si>
    <t>11/10/1993</t>
  </si>
  <si>
    <t>422-618-1193</t>
  </si>
  <si>
    <t>124 Maple Street</t>
  </si>
  <si>
    <t>TC_ID_0004</t>
  </si>
  <si>
    <t>11/10/1994</t>
  </si>
  <si>
    <t>422-618-1194</t>
  </si>
  <si>
    <t>125 Maple Street</t>
  </si>
  <si>
    <t>TC_ID_0005</t>
  </si>
  <si>
    <t>11/10/1995</t>
  </si>
  <si>
    <t>422-618-1195</t>
  </si>
  <si>
    <t>126 Maple Street</t>
  </si>
  <si>
    <t>Expected_Total_Location_Premium(from the rater)</t>
  </si>
  <si>
    <t>Actual_Total_Location_Premium(from the Dragon UI)</t>
  </si>
  <si>
    <t>Premium matching</t>
  </si>
  <si>
    <t>Premium discrepancy</t>
  </si>
  <si>
    <t>$ 4,231.60</t>
  </si>
  <si>
    <t>$ 2,997.82</t>
  </si>
  <si>
    <t>$ 3,149.88</t>
  </si>
  <si>
    <t>$ 1,746.09</t>
  </si>
  <si>
    <t>$ 2,525.32</t>
  </si>
  <si>
    <t>TC_ID_0006</t>
  </si>
  <si>
    <t>$ 2,891.62</t>
  </si>
  <si>
    <t>TC_ID_0007</t>
  </si>
  <si>
    <t>$ 955.23</t>
  </si>
  <si>
    <t>TC_ID_0008</t>
  </si>
  <si>
    <t>$ 900.23</t>
  </si>
  <si>
    <t>TC_ID_0009</t>
  </si>
  <si>
    <t>$ 2,122.56</t>
  </si>
  <si>
    <t>TC_ID_0010</t>
  </si>
  <si>
    <t>$ 3,232.02</t>
  </si>
  <si>
    <t>aohndoe042_{timestamp}@auto.com</t>
  </si>
  <si>
    <t>mdjokovic197_{timestamp}@auto.com</t>
  </si>
  <si>
    <t>bohndoe011_{timestamp}@auto.com</t>
  </si>
  <si>
    <t>vohndoe011_{timestamp}@auto.com</t>
  </si>
  <si>
    <t>gohndoe011_{timestamp}@auto.com</t>
  </si>
  <si>
    <t>Policy_Number</t>
  </si>
  <si>
    <t>$ 2,235.75</t>
  </si>
  <si>
    <t>PA8954925357-00</t>
  </si>
  <si>
    <t>PA8954985557-00</t>
  </si>
  <si>
    <t>PA8955055257-00</t>
  </si>
  <si>
    <t>EffDateOffset</t>
  </si>
  <si>
    <t>Specification</t>
  </si>
  <si>
    <t>Policy Coverage Option</t>
  </si>
  <si>
    <t>Vehicle Detail</t>
  </si>
  <si>
    <t>Payment Method</t>
  </si>
  <si>
    <t>Payer Currency</t>
  </si>
  <si>
    <t>Payment Plan</t>
  </si>
  <si>
    <t>Melody</t>
  </si>
  <si>
    <t>Bray</t>
  </si>
  <si>
    <t>testuser01+{timestamp}@example.ab</t>
  </si>
  <si>
    <t>Arts/Entertainment</t>
  </si>
  <si>
    <t>Audi</t>
  </si>
  <si>
    <t>A4 3.2</t>
  </si>
  <si>
    <t>4-Door Sedan | 2WD | 3.2 Ltrs | 4x2</t>
  </si>
  <si>
    <t>Silver</t>
  </si>
  <si>
    <t>Use Lookup to Select VIN</t>
  </si>
  <si>
    <t>Use the same method for all the payments</t>
  </si>
  <si>
    <t>US Dollar</t>
  </si>
  <si>
    <t>Late Booked</t>
  </si>
  <si>
    <t>Scott</t>
  </si>
  <si>
    <t>Alvarado</t>
  </si>
  <si>
    <t>testuser01_{timestamp}@example.ab</t>
  </si>
  <si>
    <t>Wanda</t>
  </si>
  <si>
    <t>May</t>
  </si>
  <si>
    <t>Steven</t>
  </si>
  <si>
    <t>Glass</t>
  </si>
  <si>
    <t>Sonia</t>
  </si>
  <si>
    <t>Humphrey</t>
  </si>
  <si>
    <t>Robyn</t>
  </si>
  <si>
    <t>Wade</t>
  </si>
  <si>
    <t>Bella</t>
  </si>
  <si>
    <t>Mays</t>
  </si>
  <si>
    <t>Peter</t>
  </si>
  <si>
    <t>Hart</t>
  </si>
  <si>
    <t>Miranda</t>
  </si>
  <si>
    <t>Solis</t>
  </si>
  <si>
    <t>Hanna</t>
  </si>
  <si>
    <t>Ross</t>
  </si>
  <si>
    <t>11/10/2012</t>
  </si>
  <si>
    <t>11/10/1935</t>
  </si>
  <si>
    <t>11/10/1933</t>
  </si>
  <si>
    <t>11/10/1934</t>
  </si>
  <si>
    <t>Data for Policy_Correction_Endorsement</t>
  </si>
  <si>
    <t>Policy Number</t>
  </si>
  <si>
    <t>Choose Transaction Type</t>
  </si>
  <si>
    <t>Endorsement Reason</t>
  </si>
  <si>
    <t>Effective Date</t>
  </si>
  <si>
    <t>Description</t>
  </si>
  <si>
    <t>Coverage Option</t>
  </si>
  <si>
    <t>Endorsement</t>
  </si>
  <si>
    <t>Policy Correction</t>
  </si>
  <si>
    <t>01/30/2026</t>
  </si>
  <si>
    <t>Test Creation of Policy Correction endorsement</t>
  </si>
  <si>
    <t>Platinum</t>
  </si>
  <si>
    <t>PA8999013357-00</t>
  </si>
  <si>
    <t>PA9048201357-00</t>
  </si>
  <si>
    <t>DateEffectiveCancellation</t>
  </si>
  <si>
    <t>Cancel Reason</t>
  </si>
  <si>
    <t>Cancellation Method</t>
  </si>
  <si>
    <t>Cancellation</t>
  </si>
  <si>
    <t>12/29/2025</t>
  </si>
  <si>
    <t>Opis test</t>
  </si>
  <si>
    <t>Unknown</t>
  </si>
  <si>
    <t>Short Rate</t>
  </si>
  <si>
    <t>PA9045696857-00</t>
  </si>
  <si>
    <t>PA9003395357-00</t>
  </si>
  <si>
    <t>PA9003100957-00</t>
  </si>
  <si>
    <t>PA9002580657-00</t>
  </si>
  <si>
    <t>PA8952161157-00</t>
  </si>
  <si>
    <t>Address Line</t>
  </si>
  <si>
    <t>Location Change</t>
  </si>
  <si>
    <t>178 S Worcester St</t>
  </si>
  <si>
    <t>PA9000232357-00</t>
  </si>
  <si>
    <t>PA9060936557-00</t>
  </si>
  <si>
    <t>PolicyNumber</t>
  </si>
  <si>
    <t>TransactionType</t>
  </si>
  <si>
    <t>EndorsementReason</t>
  </si>
  <si>
    <t>NewEffectiveDate</t>
  </si>
  <si>
    <t>CoverageOption</t>
  </si>
  <si>
    <t>Limit Change</t>
  </si>
  <si>
    <t>Description for Change Limit.</t>
  </si>
  <si>
    <t>PA9063277457-00</t>
  </si>
  <si>
    <t>11/10/2015</t>
  </si>
  <si>
    <t>11/10/2030</t>
  </si>
  <si>
    <t>2017</t>
  </si>
  <si>
    <t>BillingMethod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</si>
</sst>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0212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7">
    <xf numFmtId="0" fontId="0" fillId="0" borderId="0" xfId="0"/>
    <xf numFmtId="0" fontId="0" fillId="2" borderId="0" xfId="0" applyFill="1"/>
    <xf numFmtId="0" fontId="0" fillId="2" borderId="3" xfId="0" applyFill="1" applyBorder="1"/>
    <xf numFmtId="0" fontId="0" fillId="2" borderId="4" xfId="0" applyFill="1" applyBorder="1"/>
    <xf numFmtId="0" fontId="2" fillId="2" borderId="4" xfId="0" applyFont="1" applyFill="1" applyBorder="1"/>
    <xf numFmtId="49" fontId="0" fillId="0" borderId="3" xfId="0" quotePrefix="1" applyNumberFormat="1" applyBorder="1"/>
    <xf numFmtId="49" fontId="0" fillId="0" borderId="3" xfId="0" applyNumberFormat="1" applyBorder="1"/>
    <xf numFmtId="0" fontId="1" fillId="0" borderId="3" xfId="1" applyFill="1" applyBorder="1"/>
    <xf numFmtId="0" fontId="0" fillId="0" borderId="3" xfId="0" applyBorder="1"/>
    <xf numFmtId="0" fontId="0" fillId="0" borderId="3" xfId="0" quotePrefix="1" applyBorder="1"/>
    <xf numFmtId="0" fontId="0" fillId="0" borderId="5" xfId="0" applyBorder="1"/>
    <xf numFmtId="0" fontId="0" fillId="0" borderId="3" xfId="0" applyBorder="1" applyAlignment="1">
      <alignment horizontal="left"/>
    </xf>
    <xf numFmtId="3" fontId="0" fillId="0" borderId="3" xfId="0" quotePrefix="1" applyNumberFormat="1" applyBorder="1"/>
    <xf numFmtId="0" fontId="0" fillId="0" borderId="3" xfId="0" quotePrefix="1" applyBorder="1" applyAlignment="1">
      <alignment horizontal="left" vertical="top"/>
    </xf>
    <xf numFmtId="0" fontId="0" fillId="2" borderId="2" xfId="0" applyFill="1" applyBorder="1"/>
    <xf numFmtId="0" fontId="0" fillId="2" borderId="0" xfId="0" applyFill="1" applyAlignment="1">
      <alignment wrapText="1"/>
    </xf>
    <xf numFmtId="49" fontId="0" fillId="0" borderId="0" xfId="0" applyNumberFormat="1"/>
    <xf numFmtId="0" fontId="2" fillId="2" borderId="3" xfId="0" applyFont="1" applyFill="1" applyBorder="1"/>
    <xf numFmtId="49" fontId="1" fillId="0" borderId="3" xfId="1" applyNumberFormat="1" applyBorder="1"/>
    <xf numFmtId="0" fontId="0" fillId="0" borderId="5" xfId="0" quotePrefix="1" applyBorder="1"/>
    <xf numFmtId="0" fontId="0" fillId="2" borderId="1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164" fontId="0" fillId="2" borderId="2" xfId="0" applyNumberFormat="1" applyFill="1" applyBorder="1" applyAlignment="1">
      <alignment horizontal="center" wrapText="1"/>
    </xf>
    <xf numFmtId="164" fontId="0" fillId="2" borderId="3" xfId="0" applyNumberFormat="1" applyFill="1" applyBorder="1"/>
    <xf numFmtId="164" fontId="0" fillId="0" borderId="0" xfId="0" applyNumberFormat="1"/>
    <xf numFmtId="0" fontId="0" fillId="2" borderId="1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ohndoe011_%7Btimestamp%7D@auto.com" TargetMode="External"/><Relationship Id="rId2" Type="http://schemas.openxmlformats.org/officeDocument/2006/relationships/hyperlink" Target="mailto:bohndoe011_%7Btimestamp%7D@auto.com" TargetMode="External"/><Relationship Id="rId1" Type="http://schemas.openxmlformats.org/officeDocument/2006/relationships/hyperlink" Target="mailto:mdjokovic197_%7Btimestamp%7D@auto.com" TargetMode="External"/><Relationship Id="rId5" Type="http://schemas.openxmlformats.org/officeDocument/2006/relationships/hyperlink" Target="mailto:aohndoe042_%7Btimestamp%7D@auto.com" TargetMode="External"/><Relationship Id="rId4" Type="http://schemas.openxmlformats.org/officeDocument/2006/relationships/hyperlink" Target="mailto:gohndoe011_%7Btimestamp%7D@auto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vohndoe011_%7Btimestamp%7D@auto.com" TargetMode="External"/><Relationship Id="rId2" Type="http://schemas.openxmlformats.org/officeDocument/2006/relationships/hyperlink" Target="mailto:bohndoe011_%7Btimestamp%7D@auto.com" TargetMode="External"/><Relationship Id="rId1" Type="http://schemas.openxmlformats.org/officeDocument/2006/relationships/hyperlink" Target="mailto:mdjokovic197_%7Btimestamp%7D@auto.com" TargetMode="External"/><Relationship Id="rId5" Type="http://schemas.openxmlformats.org/officeDocument/2006/relationships/hyperlink" Target="mailto:aohndoe042_%7Btimestamp%7D@auto.com" TargetMode="External"/><Relationship Id="rId4" Type="http://schemas.openxmlformats.org/officeDocument/2006/relationships/hyperlink" Target="mailto:gohndoe011_%7Btimestamp%7D@auto.com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vohndoe011_%7Btimestamp%7D@auto.com" TargetMode="External"/><Relationship Id="rId2" Type="http://schemas.openxmlformats.org/officeDocument/2006/relationships/hyperlink" Target="mailto:bohndoe011_%7Btimestamp%7D@auto.com" TargetMode="External"/><Relationship Id="rId1" Type="http://schemas.openxmlformats.org/officeDocument/2006/relationships/hyperlink" Target="mailto:mdjokovic197_%7Btimestamp%7D@auto.com" TargetMode="External"/><Relationship Id="rId5" Type="http://schemas.openxmlformats.org/officeDocument/2006/relationships/hyperlink" Target="mailto:aohndoe042_%7Btimestamp%7D@auto.com" TargetMode="External"/><Relationship Id="rId4" Type="http://schemas.openxmlformats.org/officeDocument/2006/relationships/hyperlink" Target="mailto:gohndoe011_%7Btimestamp%7D@aut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AECCD-2F7F-45E1-9EA8-4469D30B40A2}">
  <dimension ref="A1:AE7"/>
  <sheetViews>
    <sheetView topLeftCell="N1" workbookViewId="0">
      <selection activeCell="W4" sqref="W4"/>
    </sheetView>
  </sheetViews>
  <sheetFormatPr defaultRowHeight="14.5" x14ac:dyDescent="0.35"/>
  <cols>
    <col min="1" max="1" width="13.26953125" customWidth="1" collapsed="1"/>
    <col min="7" max="7" width="25.453125" customWidth="1" collapsed="1"/>
    <col min="14" max="14" width="17" customWidth="1"/>
    <col min="18" max="18" width="13.26953125" customWidth="1" collapsed="1"/>
    <col min="19" max="19" width="14.54296875" customWidth="1" collapsed="1"/>
    <col min="20" max="20" width="19.08984375" customWidth="1" collapsed="1"/>
    <col min="23" max="23" width="12.36328125" customWidth="1" collapsed="1"/>
    <col min="24" max="24" width="14.90625" customWidth="1" collapsed="1"/>
  </cols>
  <sheetData>
    <row r="1" spans="1:31" x14ac:dyDescent="0.3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 t="s">
        <v>1</v>
      </c>
      <c r="Z1" s="1"/>
      <c r="AA1" s="1"/>
      <c r="AB1" s="14"/>
      <c r="AC1" s="14"/>
      <c r="AD1" s="14"/>
      <c r="AE1" s="14"/>
    </row>
    <row r="2" spans="1:31" x14ac:dyDescent="0.3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4" t="s">
        <v>19</v>
      </c>
      <c r="S2" s="3" t="s">
        <v>20</v>
      </c>
      <c r="T2" s="3" t="s">
        <v>21</v>
      </c>
      <c r="U2" s="4" t="s">
        <v>22</v>
      </c>
      <c r="V2" s="4" t="s">
        <v>23</v>
      </c>
      <c r="W2" s="3" t="s">
        <v>24</v>
      </c>
      <c r="X2" s="3" t="s">
        <v>25</v>
      </c>
      <c r="Y2" s="3" t="s">
        <v>26</v>
      </c>
      <c r="Z2" s="3" t="s">
        <v>27</v>
      </c>
      <c r="AA2" s="3" t="s">
        <v>28</v>
      </c>
      <c r="AB2" s="3" t="s">
        <v>29</v>
      </c>
      <c r="AC2" s="3" t="s">
        <v>30</v>
      </c>
      <c r="AD2" s="3" t="s">
        <v>31</v>
      </c>
      <c r="AE2" s="3" t="s">
        <v>32</v>
      </c>
    </row>
    <row r="3" spans="1:31" x14ac:dyDescent="0.35">
      <c r="A3" s="5" t="s">
        <v>33</v>
      </c>
      <c r="B3" s="6" t="s">
        <v>34</v>
      </c>
      <c r="C3" s="6" t="s">
        <v>35</v>
      </c>
      <c r="D3" s="6" t="s">
        <v>36</v>
      </c>
      <c r="E3" s="5" t="s">
        <v>192</v>
      </c>
      <c r="F3" s="5" t="s">
        <v>38</v>
      </c>
      <c r="G3" s="7" t="s">
        <v>101</v>
      </c>
      <c r="H3" s="8" t="s">
        <v>39</v>
      </c>
      <c r="I3" s="9" t="s">
        <v>40</v>
      </c>
      <c r="J3" s="8" t="s">
        <v>41</v>
      </c>
      <c r="K3" s="9" t="s">
        <v>42</v>
      </c>
      <c r="L3" s="10" t="s">
        <v>43</v>
      </c>
      <c r="M3" s="9" t="s">
        <v>44</v>
      </c>
      <c r="N3" s="8" t="s">
        <v>45</v>
      </c>
      <c r="O3" s="8" t="s">
        <v>46</v>
      </c>
      <c r="P3" s="8" t="s">
        <v>46</v>
      </c>
      <c r="Q3" s="8" t="s">
        <v>47</v>
      </c>
      <c r="R3" s="8" t="s">
        <v>48</v>
      </c>
      <c r="S3" s="11" t="s">
        <v>50</v>
      </c>
      <c r="T3" s="8" t="s">
        <v>51</v>
      </c>
      <c r="U3" s="12" t="s">
        <v>46</v>
      </c>
      <c r="V3" s="12" t="s">
        <v>52</v>
      </c>
      <c r="W3" s="9" t="s">
        <v>53</v>
      </c>
      <c r="X3" s="9" t="s">
        <v>54</v>
      </c>
      <c r="Y3" s="13" t="s">
        <v>55</v>
      </c>
      <c r="Z3" s="8" t="s">
        <v>56</v>
      </c>
      <c r="AA3" s="9" t="s">
        <v>57</v>
      </c>
      <c r="AB3" s="9" t="s">
        <v>58</v>
      </c>
      <c r="AC3" s="9" t="s">
        <v>59</v>
      </c>
      <c r="AD3" s="9" t="s">
        <v>60</v>
      </c>
      <c r="AE3" s="9" t="s">
        <v>61</v>
      </c>
    </row>
    <row r="4" spans="1:31" x14ac:dyDescent="0.35">
      <c r="A4" s="5" t="s">
        <v>62</v>
      </c>
      <c r="B4" s="6" t="s">
        <v>34</v>
      </c>
      <c r="C4" s="6" t="s">
        <v>63</v>
      </c>
      <c r="D4" s="6" t="s">
        <v>64</v>
      </c>
      <c r="E4" s="5" t="s">
        <v>37</v>
      </c>
      <c r="F4" s="5" t="s">
        <v>65</v>
      </c>
      <c r="G4" s="7" t="s">
        <v>100</v>
      </c>
      <c r="H4" s="8" t="s">
        <v>66</v>
      </c>
      <c r="I4" s="9" t="s">
        <v>67</v>
      </c>
      <c r="J4" s="8" t="s">
        <v>41</v>
      </c>
      <c r="K4" s="9" t="s">
        <v>42</v>
      </c>
      <c r="L4" s="10" t="s">
        <v>43</v>
      </c>
      <c r="M4" s="9" t="s">
        <v>44</v>
      </c>
      <c r="N4" s="8" t="s">
        <v>45</v>
      </c>
      <c r="O4" s="8" t="s">
        <v>46</v>
      </c>
      <c r="P4" s="8" t="s">
        <v>46</v>
      </c>
      <c r="Q4" s="8" t="s">
        <v>68</v>
      </c>
      <c r="R4" s="8" t="s">
        <v>48</v>
      </c>
      <c r="S4" s="11" t="s">
        <v>50</v>
      </c>
      <c r="T4" s="8" t="s">
        <v>51</v>
      </c>
      <c r="U4" s="12" t="s">
        <v>46</v>
      </c>
      <c r="V4" s="12" t="s">
        <v>52</v>
      </c>
      <c r="W4" s="9" t="s">
        <v>53</v>
      </c>
      <c r="X4" s="9" t="s">
        <v>54</v>
      </c>
      <c r="Y4" s="13" t="s">
        <v>55</v>
      </c>
      <c r="Z4" s="8" t="s">
        <v>56</v>
      </c>
      <c r="AA4" s="9" t="s">
        <v>57</v>
      </c>
      <c r="AB4" s="9" t="s">
        <v>58</v>
      </c>
      <c r="AC4" s="9" t="s">
        <v>59</v>
      </c>
      <c r="AD4" s="9" t="s">
        <v>60</v>
      </c>
      <c r="AE4" s="9" t="s">
        <v>61</v>
      </c>
    </row>
    <row r="5" spans="1:31" x14ac:dyDescent="0.35">
      <c r="A5" s="5" t="s">
        <v>69</v>
      </c>
      <c r="B5" s="6" t="s">
        <v>34</v>
      </c>
      <c r="C5" s="6" t="s">
        <v>63</v>
      </c>
      <c r="D5" s="6" t="s">
        <v>64</v>
      </c>
      <c r="E5" s="5" t="s">
        <v>193</v>
      </c>
      <c r="F5" s="5" t="s">
        <v>71</v>
      </c>
      <c r="G5" s="7" t="s">
        <v>102</v>
      </c>
      <c r="H5" s="8" t="s">
        <v>72</v>
      </c>
      <c r="I5" s="9" t="s">
        <v>67</v>
      </c>
      <c r="J5" s="8" t="s">
        <v>41</v>
      </c>
      <c r="K5" s="9" t="s">
        <v>42</v>
      </c>
      <c r="L5" s="10" t="s">
        <v>43</v>
      </c>
      <c r="M5" s="9" t="s">
        <v>44</v>
      </c>
      <c r="N5" s="8" t="s">
        <v>45</v>
      </c>
      <c r="O5" s="8" t="s">
        <v>46</v>
      </c>
      <c r="P5" s="8" t="s">
        <v>46</v>
      </c>
      <c r="Q5" s="8" t="s">
        <v>68</v>
      </c>
      <c r="R5" s="8" t="s">
        <v>48</v>
      </c>
      <c r="S5" s="11" t="s">
        <v>50</v>
      </c>
      <c r="T5" s="8" t="s">
        <v>51</v>
      </c>
      <c r="U5" s="12" t="s">
        <v>46</v>
      </c>
      <c r="V5" s="12" t="s">
        <v>52</v>
      </c>
      <c r="W5" s="9" t="s">
        <v>53</v>
      </c>
      <c r="X5" s="9" t="s">
        <v>54</v>
      </c>
      <c r="Y5" s="13" t="s">
        <v>55</v>
      </c>
      <c r="Z5" s="8" t="s">
        <v>56</v>
      </c>
      <c r="AA5" s="9" t="s">
        <v>57</v>
      </c>
      <c r="AB5" s="9" t="s">
        <v>58</v>
      </c>
      <c r="AC5" s="9" t="s">
        <v>59</v>
      </c>
      <c r="AD5" s="9" t="s">
        <v>60</v>
      </c>
      <c r="AE5" s="9" t="s">
        <v>61</v>
      </c>
    </row>
    <row r="6" spans="1:31" x14ac:dyDescent="0.35">
      <c r="A6" s="5" t="s">
        <v>73</v>
      </c>
      <c r="B6" s="6" t="s">
        <v>34</v>
      </c>
      <c r="C6" s="6" t="s">
        <v>63</v>
      </c>
      <c r="D6" s="6" t="s">
        <v>64</v>
      </c>
      <c r="E6" s="5" t="s">
        <v>74</v>
      </c>
      <c r="F6" s="5" t="s">
        <v>75</v>
      </c>
      <c r="G6" s="7" t="s">
        <v>103</v>
      </c>
      <c r="H6" s="8" t="s">
        <v>76</v>
      </c>
      <c r="I6" s="9" t="s">
        <v>67</v>
      </c>
      <c r="J6" s="8" t="s">
        <v>41</v>
      </c>
      <c r="K6" s="9" t="s">
        <v>42</v>
      </c>
      <c r="L6" s="10" t="s">
        <v>43</v>
      </c>
      <c r="M6" s="9" t="s">
        <v>44</v>
      </c>
      <c r="N6" s="8" t="s">
        <v>45</v>
      </c>
      <c r="O6" s="8" t="s">
        <v>46</v>
      </c>
      <c r="P6" s="8" t="s">
        <v>46</v>
      </c>
      <c r="Q6" s="8" t="s">
        <v>68</v>
      </c>
      <c r="R6" s="8" t="s">
        <v>48</v>
      </c>
      <c r="S6" s="11" t="s">
        <v>50</v>
      </c>
      <c r="T6" s="8" t="s">
        <v>51</v>
      </c>
      <c r="U6" s="12" t="s">
        <v>46</v>
      </c>
      <c r="V6" s="12" t="s">
        <v>52</v>
      </c>
      <c r="W6" s="9" t="s">
        <v>53</v>
      </c>
      <c r="X6" s="9" t="s">
        <v>54</v>
      </c>
      <c r="Y6" s="13" t="s">
        <v>55</v>
      </c>
      <c r="Z6" s="8" t="s">
        <v>56</v>
      </c>
      <c r="AA6" s="9" t="s">
        <v>57</v>
      </c>
      <c r="AB6" s="9" t="s">
        <v>58</v>
      </c>
      <c r="AC6" s="9" t="s">
        <v>59</v>
      </c>
      <c r="AD6" s="9" t="s">
        <v>60</v>
      </c>
      <c r="AE6" s="9" t="s">
        <v>61</v>
      </c>
    </row>
    <row r="7" spans="1:31" x14ac:dyDescent="0.35">
      <c r="A7" s="5" t="s">
        <v>77</v>
      </c>
      <c r="B7" s="6" t="s">
        <v>34</v>
      </c>
      <c r="C7" s="6" t="s">
        <v>63</v>
      </c>
      <c r="D7" s="6" t="s">
        <v>64</v>
      </c>
      <c r="E7" s="5" t="s">
        <v>78</v>
      </c>
      <c r="F7" s="5" t="s">
        <v>79</v>
      </c>
      <c r="G7" s="7" t="s">
        <v>104</v>
      </c>
      <c r="H7" s="8" t="s">
        <v>80</v>
      </c>
      <c r="I7" s="9" t="s">
        <v>67</v>
      </c>
      <c r="J7" s="8" t="s">
        <v>41</v>
      </c>
      <c r="K7" s="9" t="s">
        <v>42</v>
      </c>
      <c r="L7" s="10" t="s">
        <v>43</v>
      </c>
      <c r="M7" s="9" t="s">
        <v>44</v>
      </c>
      <c r="N7" s="8" t="s">
        <v>45</v>
      </c>
      <c r="O7" s="8" t="s">
        <v>46</v>
      </c>
      <c r="P7" s="8" t="s">
        <v>46</v>
      </c>
      <c r="Q7" s="8" t="s">
        <v>68</v>
      </c>
      <c r="R7" s="8" t="s">
        <v>48</v>
      </c>
      <c r="S7" s="11" t="s">
        <v>50</v>
      </c>
      <c r="T7" s="8" t="s">
        <v>51</v>
      </c>
      <c r="U7" s="12" t="s">
        <v>46</v>
      </c>
      <c r="V7" s="12" t="s">
        <v>52</v>
      </c>
      <c r="W7" s="9" t="s">
        <v>53</v>
      </c>
      <c r="X7" s="9" t="s">
        <v>54</v>
      </c>
      <c r="Y7" s="13" t="s">
        <v>55</v>
      </c>
      <c r="Z7" s="8" t="s">
        <v>56</v>
      </c>
      <c r="AA7" s="9" t="s">
        <v>57</v>
      </c>
      <c r="AB7" s="9" t="s">
        <v>58</v>
      </c>
      <c r="AC7" s="9" t="s">
        <v>59</v>
      </c>
      <c r="AD7" s="9" t="s">
        <v>60</v>
      </c>
      <c r="AE7" s="9" t="s">
        <v>61</v>
      </c>
    </row>
  </sheetData>
  <mergeCells count="1">
    <mergeCell ref="A1:M1"/>
  </mergeCells>
  <hyperlinks>
    <hyperlink ref="G3" r:id="rId1" xr:uid="{42A5FB2C-60F9-4C51-99E8-00E01A4B2BA8}"/>
    <hyperlink ref="G5" r:id="rId2" xr:uid="{B3138602-DE56-4D87-A72F-78242CACF852}"/>
    <hyperlink ref="G6" r:id="rId3" xr:uid="{ABDCB3A7-16A6-4644-B913-79AA312F4BE8}"/>
    <hyperlink ref="G7" r:id="rId4" xr:uid="{FD4483E3-2D21-4DE5-9676-35D59BC8BB01}"/>
    <hyperlink ref="G4" r:id="rId5" xr:uid="{B0E9584E-3FDE-4CC6-B34B-8557ADE7D9E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"/>
  <sheetViews>
    <sheetView workbookViewId="0">
      <selection activeCell="I3" sqref="I3:I7"/>
    </sheetView>
  </sheetViews>
  <sheetFormatPr defaultRowHeight="14.5" x14ac:dyDescent="0.35"/>
  <cols>
    <col min="1" max="1" width="13.26953125" customWidth="1" collapsed="1"/>
    <col min="7" max="7" width="25.453125" customWidth="1" collapsed="1"/>
    <col min="14" max="14" width="17" customWidth="1"/>
    <col min="18" max="18" width="13.26953125" customWidth="1" collapsed="1"/>
    <col min="19" max="19" width="14.54296875" customWidth="1" collapsed="1"/>
    <col min="20" max="20" width="19.08984375" customWidth="1" collapsed="1"/>
    <col min="23" max="23" width="12.36328125" customWidth="1" collapsed="1"/>
    <col min="24" max="24" width="14.90625" customWidth="1" collapsed="1"/>
  </cols>
  <sheetData>
    <row r="1" spans="1:31" x14ac:dyDescent="0.3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 t="s">
        <v>1</v>
      </c>
      <c r="Z1" s="1"/>
      <c r="AA1" s="1"/>
      <c r="AB1" s="14"/>
      <c r="AC1" s="14"/>
      <c r="AD1" s="14"/>
      <c r="AE1" s="14"/>
    </row>
    <row r="2" spans="1:31" x14ac:dyDescent="0.3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4" t="s">
        <v>19</v>
      </c>
      <c r="S2" s="3" t="s">
        <v>20</v>
      </c>
      <c r="T2" s="3" t="s">
        <v>21</v>
      </c>
      <c r="U2" s="4" t="s">
        <v>22</v>
      </c>
      <c r="V2" s="4" t="s">
        <v>23</v>
      </c>
      <c r="W2" s="3" t="s">
        <v>24</v>
      </c>
      <c r="X2" s="3" t="s">
        <v>25</v>
      </c>
      <c r="Y2" s="3" t="s">
        <v>26</v>
      </c>
      <c r="Z2" s="3" t="s">
        <v>27</v>
      </c>
      <c r="AA2" s="3" t="s">
        <v>28</v>
      </c>
      <c r="AB2" s="3" t="s">
        <v>29</v>
      </c>
      <c r="AC2" s="3" t="s">
        <v>30</v>
      </c>
      <c r="AD2" s="3" t="s">
        <v>31</v>
      </c>
      <c r="AE2" s="3" t="s">
        <v>32</v>
      </c>
    </row>
    <row r="3" spans="1:31" x14ac:dyDescent="0.35">
      <c r="A3" s="5" t="s">
        <v>33</v>
      </c>
      <c r="B3" s="6" t="s">
        <v>34</v>
      </c>
      <c r="C3" s="6" t="s">
        <v>35</v>
      </c>
      <c r="D3" s="6" t="s">
        <v>36</v>
      </c>
      <c r="E3" s="5" t="s">
        <v>37</v>
      </c>
      <c r="F3" s="5" t="s">
        <v>38</v>
      </c>
      <c r="G3" s="7" t="s">
        <v>101</v>
      </c>
      <c r="H3" s="8" t="s">
        <v>39</v>
      </c>
      <c r="I3" s="9" t="s">
        <v>40</v>
      </c>
      <c r="J3" s="8" t="s">
        <v>41</v>
      </c>
      <c r="K3" s="9" t="s">
        <v>42</v>
      </c>
      <c r="L3" s="10" t="s">
        <v>43</v>
      </c>
      <c r="M3" s="9" t="s">
        <v>44</v>
      </c>
      <c r="N3" s="8" t="s">
        <v>45</v>
      </c>
      <c r="O3" s="8" t="s">
        <v>46</v>
      </c>
      <c r="P3" s="8" t="s">
        <v>46</v>
      </c>
      <c r="Q3" s="8" t="s">
        <v>47</v>
      </c>
      <c r="R3" s="8" t="s">
        <v>48</v>
      </c>
      <c r="S3" s="11" t="s">
        <v>50</v>
      </c>
      <c r="T3" s="8" t="s">
        <v>51</v>
      </c>
      <c r="U3" s="12" t="s">
        <v>46</v>
      </c>
      <c r="V3" s="12" t="s">
        <v>52</v>
      </c>
      <c r="W3" s="9" t="s">
        <v>49</v>
      </c>
      <c r="X3" s="9" t="s">
        <v>54</v>
      </c>
      <c r="Y3" s="13" t="s">
        <v>55</v>
      </c>
      <c r="Z3" s="8" t="s">
        <v>56</v>
      </c>
      <c r="AA3" s="9" t="s">
        <v>57</v>
      </c>
      <c r="AB3" s="9" t="s">
        <v>58</v>
      </c>
      <c r="AC3" s="9" t="s">
        <v>59</v>
      </c>
      <c r="AD3" s="9" t="s">
        <v>60</v>
      </c>
      <c r="AE3" s="9" t="s">
        <v>61</v>
      </c>
    </row>
    <row r="4" spans="1:31" x14ac:dyDescent="0.35">
      <c r="A4" s="5" t="s">
        <v>62</v>
      </c>
      <c r="B4" s="6" t="s">
        <v>34</v>
      </c>
      <c r="C4" s="6" t="s">
        <v>63</v>
      </c>
      <c r="D4" s="6" t="s">
        <v>64</v>
      </c>
      <c r="E4" s="5" t="s">
        <v>37</v>
      </c>
      <c r="F4" s="5" t="s">
        <v>65</v>
      </c>
      <c r="G4" s="7" t="s">
        <v>100</v>
      </c>
      <c r="H4" s="8" t="s">
        <v>66</v>
      </c>
      <c r="I4" s="9" t="s">
        <v>67</v>
      </c>
      <c r="J4" s="8" t="s">
        <v>41</v>
      </c>
      <c r="K4" s="9" t="s">
        <v>42</v>
      </c>
      <c r="L4" s="10" t="s">
        <v>43</v>
      </c>
      <c r="M4" s="9" t="s">
        <v>44</v>
      </c>
      <c r="N4" s="8" t="s">
        <v>45</v>
      </c>
      <c r="O4" s="8" t="s">
        <v>46</v>
      </c>
      <c r="P4" s="8" t="s">
        <v>46</v>
      </c>
      <c r="Q4" s="8" t="s">
        <v>68</v>
      </c>
      <c r="R4" s="8" t="s">
        <v>48</v>
      </c>
      <c r="S4" s="11" t="s">
        <v>50</v>
      </c>
      <c r="T4" s="8" t="s">
        <v>51</v>
      </c>
      <c r="U4" s="12" t="s">
        <v>46</v>
      </c>
      <c r="V4" s="12" t="s">
        <v>52</v>
      </c>
      <c r="W4" s="9" t="s">
        <v>49</v>
      </c>
      <c r="X4" s="9" t="s">
        <v>54</v>
      </c>
      <c r="Y4" s="13" t="s">
        <v>55</v>
      </c>
      <c r="Z4" s="8" t="s">
        <v>56</v>
      </c>
      <c r="AA4" s="9" t="s">
        <v>57</v>
      </c>
      <c r="AB4" s="9" t="s">
        <v>58</v>
      </c>
      <c r="AC4" s="9" t="s">
        <v>59</v>
      </c>
      <c r="AD4" s="9" t="s">
        <v>60</v>
      </c>
      <c r="AE4" s="9" t="s">
        <v>61</v>
      </c>
    </row>
    <row r="5" spans="1:31" x14ac:dyDescent="0.35">
      <c r="A5" s="5" t="s">
        <v>69</v>
      </c>
      <c r="B5" s="6" t="s">
        <v>34</v>
      </c>
      <c r="C5" s="6" t="s">
        <v>63</v>
      </c>
      <c r="D5" s="6" t="s">
        <v>64</v>
      </c>
      <c r="E5" s="5" t="s">
        <v>70</v>
      </c>
      <c r="F5" s="5" t="s">
        <v>71</v>
      </c>
      <c r="G5" s="7" t="s">
        <v>102</v>
      </c>
      <c r="H5" s="8" t="s">
        <v>72</v>
      </c>
      <c r="I5" s="9" t="s">
        <v>67</v>
      </c>
      <c r="J5" s="8" t="s">
        <v>41</v>
      </c>
      <c r="K5" s="9" t="s">
        <v>42</v>
      </c>
      <c r="L5" s="10" t="s">
        <v>43</v>
      </c>
      <c r="M5" s="9" t="s">
        <v>44</v>
      </c>
      <c r="N5" s="8" t="s">
        <v>45</v>
      </c>
      <c r="O5" s="8" t="s">
        <v>46</v>
      </c>
      <c r="P5" s="8" t="s">
        <v>46</v>
      </c>
      <c r="Q5" s="8" t="s">
        <v>68</v>
      </c>
      <c r="R5" s="8" t="s">
        <v>48</v>
      </c>
      <c r="S5" s="11" t="s">
        <v>50</v>
      </c>
      <c r="T5" s="8" t="s">
        <v>51</v>
      </c>
      <c r="U5" s="12" t="s">
        <v>46</v>
      </c>
      <c r="V5" s="12" t="s">
        <v>52</v>
      </c>
      <c r="W5" s="9" t="s">
        <v>53</v>
      </c>
      <c r="X5" s="9" t="s">
        <v>54</v>
      </c>
      <c r="Y5" s="13" t="s">
        <v>55</v>
      </c>
      <c r="Z5" s="8" t="s">
        <v>56</v>
      </c>
      <c r="AA5" s="9" t="s">
        <v>57</v>
      </c>
      <c r="AB5" s="9" t="s">
        <v>58</v>
      </c>
      <c r="AC5" s="9" t="s">
        <v>59</v>
      </c>
      <c r="AD5" s="9" t="s">
        <v>60</v>
      </c>
      <c r="AE5" s="9" t="s">
        <v>61</v>
      </c>
    </row>
    <row r="6" spans="1:31" x14ac:dyDescent="0.35">
      <c r="A6" s="5" t="s">
        <v>73</v>
      </c>
      <c r="B6" s="6" t="s">
        <v>34</v>
      </c>
      <c r="C6" s="6" t="s">
        <v>63</v>
      </c>
      <c r="D6" s="6" t="s">
        <v>64</v>
      </c>
      <c r="E6" s="5" t="s">
        <v>74</v>
      </c>
      <c r="F6" s="5" t="s">
        <v>75</v>
      </c>
      <c r="G6" s="7" t="s">
        <v>103</v>
      </c>
      <c r="H6" s="8" t="s">
        <v>76</v>
      </c>
      <c r="I6" s="9" t="s">
        <v>67</v>
      </c>
      <c r="J6" s="8" t="s">
        <v>41</v>
      </c>
      <c r="K6" s="9" t="s">
        <v>42</v>
      </c>
      <c r="L6" s="10" t="s">
        <v>43</v>
      </c>
      <c r="M6" s="9" t="s">
        <v>44</v>
      </c>
      <c r="N6" s="8" t="s">
        <v>45</v>
      </c>
      <c r="O6" s="8" t="s">
        <v>46</v>
      </c>
      <c r="P6" s="8" t="s">
        <v>46</v>
      </c>
      <c r="Q6" s="8" t="s">
        <v>68</v>
      </c>
      <c r="R6" s="8" t="s">
        <v>48</v>
      </c>
      <c r="S6" s="11" t="s">
        <v>50</v>
      </c>
      <c r="T6" s="8" t="s">
        <v>51</v>
      </c>
      <c r="U6" s="12" t="s">
        <v>46</v>
      </c>
      <c r="V6" s="12" t="s">
        <v>52</v>
      </c>
      <c r="W6" s="9" t="s">
        <v>53</v>
      </c>
      <c r="X6" s="9" t="s">
        <v>54</v>
      </c>
      <c r="Y6" s="13" t="s">
        <v>55</v>
      </c>
      <c r="Z6" s="8" t="s">
        <v>56</v>
      </c>
      <c r="AA6" s="9" t="s">
        <v>57</v>
      </c>
      <c r="AB6" s="9" t="s">
        <v>58</v>
      </c>
      <c r="AC6" s="9" t="s">
        <v>59</v>
      </c>
      <c r="AD6" s="9" t="s">
        <v>60</v>
      </c>
      <c r="AE6" s="9" t="s">
        <v>61</v>
      </c>
    </row>
    <row r="7" spans="1:31" x14ac:dyDescent="0.35">
      <c r="A7" s="5" t="s">
        <v>77</v>
      </c>
      <c r="B7" s="6" t="s">
        <v>34</v>
      </c>
      <c r="C7" s="6" t="s">
        <v>63</v>
      </c>
      <c r="D7" s="6" t="s">
        <v>64</v>
      </c>
      <c r="E7" s="5" t="s">
        <v>78</v>
      </c>
      <c r="F7" s="5" t="s">
        <v>79</v>
      </c>
      <c r="G7" s="7" t="s">
        <v>104</v>
      </c>
      <c r="H7" s="8" t="s">
        <v>80</v>
      </c>
      <c r="I7" s="9" t="s">
        <v>67</v>
      </c>
      <c r="J7" s="8" t="s">
        <v>41</v>
      </c>
      <c r="K7" s="9" t="s">
        <v>42</v>
      </c>
      <c r="L7" s="10" t="s">
        <v>43</v>
      </c>
      <c r="M7" s="9" t="s">
        <v>44</v>
      </c>
      <c r="N7" s="8" t="s">
        <v>45</v>
      </c>
      <c r="O7" s="8" t="s">
        <v>46</v>
      </c>
      <c r="P7" s="8" t="s">
        <v>46</v>
      </c>
      <c r="Q7" s="8" t="s">
        <v>68</v>
      </c>
      <c r="R7" s="8" t="s">
        <v>48</v>
      </c>
      <c r="S7" s="11" t="s">
        <v>50</v>
      </c>
      <c r="T7" s="8" t="s">
        <v>51</v>
      </c>
      <c r="U7" s="12" t="s">
        <v>46</v>
      </c>
      <c r="V7" s="12" t="s">
        <v>52</v>
      </c>
      <c r="W7" s="9" t="s">
        <v>53</v>
      </c>
      <c r="X7" s="9" t="s">
        <v>54</v>
      </c>
      <c r="Y7" s="13" t="s">
        <v>55</v>
      </c>
      <c r="Z7" s="8" t="s">
        <v>56</v>
      </c>
      <c r="AA7" s="9" t="s">
        <v>57</v>
      </c>
      <c r="AB7" s="9" t="s">
        <v>58</v>
      </c>
      <c r="AC7" s="9" t="s">
        <v>59</v>
      </c>
      <c r="AD7" s="9" t="s">
        <v>60</v>
      </c>
      <c r="AE7" s="9" t="s">
        <v>61</v>
      </c>
    </row>
  </sheetData>
  <mergeCells count="1">
    <mergeCell ref="A1:M1"/>
  </mergeCells>
  <hyperlinks>
    <hyperlink ref="G3" r:id="rId1" xr:uid="{E25CD202-06A1-4BA7-AB6E-002BF26EA29C}"/>
    <hyperlink ref="G5" r:id="rId2" xr:uid="{FCF0B0A1-2B70-4538-A544-9B1CC70B6938}"/>
    <hyperlink ref="G6" r:id="rId3" xr:uid="{06A35775-FFE0-4DE7-ACDA-3B5105E654AF}"/>
    <hyperlink ref="G7" r:id="rId4" xr:uid="{853D6756-6EE7-42D5-B3ED-C45FCDF7037F}"/>
    <hyperlink ref="G4" r:id="rId5" xr:uid="{44DBFDF5-9F3D-4737-89E7-3D0642D9CBC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34B7D-25AF-4FE9-9182-262FE345E190}">
  <dimension ref="A1:AJ12"/>
  <sheetViews>
    <sheetView tabSelected="1" topLeftCell="D1" workbookViewId="0">
      <selection activeCell="N17" sqref="N17"/>
    </sheetView>
  </sheetViews>
  <sheetFormatPr defaultRowHeight="14.5" x14ac:dyDescent="0.35"/>
  <cols>
    <col min="9" max="9" width="8.7265625" style="24"/>
    <col min="14" max="14" width="24.453125" customWidth="1"/>
  </cols>
  <sheetData>
    <row r="1" spans="1:36" ht="14.5" customHeight="1" x14ac:dyDescent="0.35">
      <c r="A1" s="20" t="s">
        <v>0</v>
      </c>
      <c r="B1" s="21"/>
      <c r="C1" s="21"/>
      <c r="D1" s="21"/>
      <c r="E1" s="21"/>
      <c r="F1" s="21"/>
      <c r="G1" s="21"/>
      <c r="H1" s="21"/>
      <c r="I1" s="22"/>
      <c r="J1" s="21"/>
      <c r="K1" s="21"/>
      <c r="L1" s="21"/>
      <c r="M1" s="2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x14ac:dyDescent="0.3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3" t="s">
        <v>10</v>
      </c>
      <c r="J2" s="2" t="s">
        <v>11</v>
      </c>
      <c r="K2" s="2" t="s">
        <v>110</v>
      </c>
      <c r="L2" s="2" t="s">
        <v>13</v>
      </c>
      <c r="M2" s="2" t="s">
        <v>14</v>
      </c>
      <c r="N2" s="3" t="s">
        <v>195</v>
      </c>
      <c r="O2" s="3" t="s">
        <v>16</v>
      </c>
      <c r="P2" s="3" t="s">
        <v>17</v>
      </c>
      <c r="Q2" s="3" t="s">
        <v>18</v>
      </c>
      <c r="R2" s="3" t="s">
        <v>19</v>
      </c>
      <c r="S2" s="4" t="s">
        <v>20</v>
      </c>
      <c r="T2" s="3" t="s">
        <v>21</v>
      </c>
      <c r="U2" s="3" t="s">
        <v>22</v>
      </c>
      <c r="V2" s="3" t="s">
        <v>23</v>
      </c>
      <c r="W2" s="3" t="s">
        <v>24</v>
      </c>
      <c r="X2" s="4" t="s">
        <v>25</v>
      </c>
      <c r="Y2" s="3" t="s">
        <v>26</v>
      </c>
      <c r="Z2" s="3" t="s">
        <v>27</v>
      </c>
      <c r="AA2" s="4" t="s">
        <v>28</v>
      </c>
      <c r="AB2" s="4" t="s">
        <v>111</v>
      </c>
      <c r="AC2" s="4" t="s">
        <v>30</v>
      </c>
      <c r="AD2" s="3" t="s">
        <v>31</v>
      </c>
      <c r="AE2" s="3" t="s">
        <v>112</v>
      </c>
      <c r="AF2" s="17" t="s">
        <v>113</v>
      </c>
      <c r="AG2" s="17" t="s">
        <v>114</v>
      </c>
      <c r="AH2" s="17" t="s">
        <v>115</v>
      </c>
      <c r="AI2" s="17" t="s">
        <v>116</v>
      </c>
      <c r="AJ2" s="17" t="s">
        <v>116</v>
      </c>
    </row>
    <row r="3" spans="1:36" x14ac:dyDescent="0.35">
      <c r="A3" s="5" t="s">
        <v>33</v>
      </c>
      <c r="B3" s="6" t="s">
        <v>34</v>
      </c>
      <c r="C3" s="6" t="s">
        <v>117</v>
      </c>
      <c r="D3" s="6" t="s">
        <v>118</v>
      </c>
      <c r="E3" s="5" t="s">
        <v>148</v>
      </c>
      <c r="F3" s="5" t="s">
        <v>38</v>
      </c>
      <c r="G3" s="18" t="s">
        <v>119</v>
      </c>
      <c r="H3" s="8" t="s">
        <v>39</v>
      </c>
      <c r="I3" s="9" t="s">
        <v>40</v>
      </c>
      <c r="J3" s="8" t="s">
        <v>41</v>
      </c>
      <c r="K3" s="9">
        <v>0</v>
      </c>
      <c r="L3" s="10" t="s">
        <v>43</v>
      </c>
      <c r="M3" s="9" t="s">
        <v>44</v>
      </c>
      <c r="N3" s="8" t="s">
        <v>45</v>
      </c>
      <c r="O3" s="8" t="s">
        <v>46</v>
      </c>
      <c r="P3" s="8" t="s">
        <v>46</v>
      </c>
      <c r="Q3" s="8" t="s">
        <v>47</v>
      </c>
      <c r="R3" s="8" t="s">
        <v>48</v>
      </c>
      <c r="S3" s="8" t="s">
        <v>50</v>
      </c>
      <c r="T3" s="8" t="s">
        <v>51</v>
      </c>
      <c r="U3" s="8" t="s">
        <v>46</v>
      </c>
      <c r="V3" s="9" t="s">
        <v>120</v>
      </c>
      <c r="W3" s="9" t="s">
        <v>53</v>
      </c>
      <c r="X3" s="8" t="s">
        <v>54</v>
      </c>
      <c r="Y3" s="9" t="s">
        <v>194</v>
      </c>
      <c r="Z3" s="8" t="s">
        <v>121</v>
      </c>
      <c r="AA3" s="8" t="s">
        <v>122</v>
      </c>
      <c r="AB3" s="12" t="s">
        <v>123</v>
      </c>
      <c r="AC3" s="12" t="s">
        <v>59</v>
      </c>
      <c r="AD3" s="9" t="s">
        <v>60</v>
      </c>
      <c r="AE3" s="8" t="s">
        <v>124</v>
      </c>
      <c r="AF3" s="8" t="s">
        <v>125</v>
      </c>
      <c r="AG3" s="8" t="s">
        <v>126</v>
      </c>
      <c r="AH3" s="8" t="s">
        <v>127</v>
      </c>
      <c r="AI3" s="8" t="s">
        <v>46</v>
      </c>
      <c r="AJ3" s="8" t="s">
        <v>128</v>
      </c>
    </row>
    <row r="4" spans="1:36" x14ac:dyDescent="0.35">
      <c r="A4" s="5" t="s">
        <v>62</v>
      </c>
      <c r="B4" s="6" t="s">
        <v>34</v>
      </c>
      <c r="C4" s="6" t="s">
        <v>129</v>
      </c>
      <c r="D4" s="6" t="s">
        <v>130</v>
      </c>
      <c r="E4" s="5" t="s">
        <v>148</v>
      </c>
      <c r="F4" s="5" t="s">
        <v>38</v>
      </c>
      <c r="G4" s="18" t="s">
        <v>131</v>
      </c>
      <c r="H4" s="8" t="s">
        <v>39</v>
      </c>
      <c r="I4" s="9" t="s">
        <v>67</v>
      </c>
      <c r="J4" s="8" t="s">
        <v>41</v>
      </c>
      <c r="K4" s="9">
        <v>0</v>
      </c>
      <c r="L4" s="10" t="s">
        <v>43</v>
      </c>
      <c r="M4" s="9" t="s">
        <v>44</v>
      </c>
      <c r="N4" s="8" t="s">
        <v>45</v>
      </c>
      <c r="O4" s="8" t="s">
        <v>46</v>
      </c>
      <c r="P4" s="8" t="s">
        <v>46</v>
      </c>
      <c r="Q4" s="8" t="s">
        <v>47</v>
      </c>
      <c r="R4" s="8" t="s">
        <v>48</v>
      </c>
      <c r="S4" s="8" t="s">
        <v>50</v>
      </c>
      <c r="T4" s="8" t="s">
        <v>51</v>
      </c>
      <c r="U4" s="8" t="s">
        <v>46</v>
      </c>
      <c r="V4" s="9" t="s">
        <v>120</v>
      </c>
      <c r="W4" s="9" t="s">
        <v>53</v>
      </c>
      <c r="X4" s="8" t="s">
        <v>54</v>
      </c>
      <c r="Y4" s="9" t="s">
        <v>194</v>
      </c>
      <c r="Z4" s="8" t="s">
        <v>121</v>
      </c>
      <c r="AA4" s="8" t="s">
        <v>122</v>
      </c>
      <c r="AB4" s="12" t="s">
        <v>123</v>
      </c>
      <c r="AC4" s="12" t="s">
        <v>59</v>
      </c>
      <c r="AD4" s="9" t="s">
        <v>60</v>
      </c>
      <c r="AE4" s="8" t="s">
        <v>124</v>
      </c>
      <c r="AF4" s="8" t="s">
        <v>125</v>
      </c>
      <c r="AG4" s="8" t="s">
        <v>126</v>
      </c>
      <c r="AH4" s="8" t="s">
        <v>127</v>
      </c>
      <c r="AI4" s="8" t="s">
        <v>46</v>
      </c>
      <c r="AJ4" s="8" t="s">
        <v>128</v>
      </c>
    </row>
    <row r="5" spans="1:36" x14ac:dyDescent="0.35">
      <c r="A5" s="5" t="s">
        <v>69</v>
      </c>
      <c r="B5" s="6" t="s">
        <v>34</v>
      </c>
      <c r="C5" s="6" t="s">
        <v>132</v>
      </c>
      <c r="D5" s="6" t="s">
        <v>133</v>
      </c>
      <c r="E5" s="5" t="s">
        <v>148</v>
      </c>
      <c r="F5" s="5" t="s">
        <v>38</v>
      </c>
      <c r="G5" s="18" t="s">
        <v>131</v>
      </c>
      <c r="H5" s="8" t="s">
        <v>39</v>
      </c>
      <c r="I5" s="9" t="s">
        <v>67</v>
      </c>
      <c r="J5" s="8" t="s">
        <v>41</v>
      </c>
      <c r="K5" s="9">
        <v>0</v>
      </c>
      <c r="L5" s="10" t="s">
        <v>43</v>
      </c>
      <c r="M5" s="9" t="s">
        <v>44</v>
      </c>
      <c r="N5" s="8" t="s">
        <v>45</v>
      </c>
      <c r="O5" s="8" t="s">
        <v>46</v>
      </c>
      <c r="P5" s="8" t="s">
        <v>46</v>
      </c>
      <c r="Q5" s="8" t="s">
        <v>47</v>
      </c>
      <c r="R5" s="8" t="s">
        <v>48</v>
      </c>
      <c r="S5" s="8" t="s">
        <v>50</v>
      </c>
      <c r="T5" s="8" t="s">
        <v>51</v>
      </c>
      <c r="U5" s="8" t="s">
        <v>46</v>
      </c>
      <c r="V5" s="9" t="s">
        <v>120</v>
      </c>
      <c r="W5" s="9" t="s">
        <v>53</v>
      </c>
      <c r="X5" s="8" t="s">
        <v>54</v>
      </c>
      <c r="Y5" s="9" t="s">
        <v>194</v>
      </c>
      <c r="Z5" s="8" t="s">
        <v>121</v>
      </c>
      <c r="AA5" s="8" t="s">
        <v>122</v>
      </c>
      <c r="AB5" s="12" t="s">
        <v>123</v>
      </c>
      <c r="AC5" s="12" t="s">
        <v>59</v>
      </c>
      <c r="AD5" s="9" t="s">
        <v>60</v>
      </c>
      <c r="AE5" s="8" t="s">
        <v>124</v>
      </c>
      <c r="AF5" s="8" t="s">
        <v>125</v>
      </c>
      <c r="AG5" s="8" t="s">
        <v>126</v>
      </c>
      <c r="AH5" s="8" t="s">
        <v>127</v>
      </c>
      <c r="AI5" s="8" t="s">
        <v>46</v>
      </c>
      <c r="AJ5" s="8" t="s">
        <v>128</v>
      </c>
    </row>
    <row r="6" spans="1:36" x14ac:dyDescent="0.35">
      <c r="A6" s="5" t="s">
        <v>73</v>
      </c>
      <c r="B6" s="6" t="s">
        <v>34</v>
      </c>
      <c r="C6" s="6" t="s">
        <v>134</v>
      </c>
      <c r="D6" s="6" t="s">
        <v>135</v>
      </c>
      <c r="E6" s="5" t="s">
        <v>148</v>
      </c>
      <c r="F6" s="5" t="s">
        <v>38</v>
      </c>
      <c r="G6" s="18" t="s">
        <v>131</v>
      </c>
      <c r="H6" s="8" t="s">
        <v>39</v>
      </c>
      <c r="I6" s="9" t="s">
        <v>67</v>
      </c>
      <c r="J6" s="8" t="s">
        <v>41</v>
      </c>
      <c r="K6" s="9">
        <v>0</v>
      </c>
      <c r="L6" s="10" t="s">
        <v>43</v>
      </c>
      <c r="M6" s="9" t="s">
        <v>44</v>
      </c>
      <c r="N6" s="8" t="s">
        <v>45</v>
      </c>
      <c r="O6" s="8" t="s">
        <v>46</v>
      </c>
      <c r="P6" s="8" t="s">
        <v>46</v>
      </c>
      <c r="Q6" s="8" t="s">
        <v>47</v>
      </c>
      <c r="R6" s="8" t="s">
        <v>48</v>
      </c>
      <c r="S6" s="8" t="s">
        <v>50</v>
      </c>
      <c r="T6" s="8" t="s">
        <v>51</v>
      </c>
      <c r="U6" s="8" t="s">
        <v>46</v>
      </c>
      <c r="V6" s="9" t="s">
        <v>120</v>
      </c>
      <c r="W6" s="9" t="s">
        <v>53</v>
      </c>
      <c r="X6" s="8" t="s">
        <v>54</v>
      </c>
      <c r="Y6" s="9" t="s">
        <v>194</v>
      </c>
      <c r="Z6" s="8" t="s">
        <v>121</v>
      </c>
      <c r="AA6" s="8" t="s">
        <v>122</v>
      </c>
      <c r="AB6" s="12" t="s">
        <v>123</v>
      </c>
      <c r="AC6" s="12" t="s">
        <v>59</v>
      </c>
      <c r="AD6" s="9" t="s">
        <v>60</v>
      </c>
      <c r="AE6" s="8" t="s">
        <v>124</v>
      </c>
      <c r="AF6" s="8" t="s">
        <v>125</v>
      </c>
      <c r="AG6" s="8" t="s">
        <v>126</v>
      </c>
      <c r="AH6" s="8" t="s">
        <v>127</v>
      </c>
      <c r="AI6" s="8" t="s">
        <v>46</v>
      </c>
      <c r="AJ6" s="8" t="s">
        <v>128</v>
      </c>
    </row>
    <row r="7" spans="1:36" x14ac:dyDescent="0.35">
      <c r="A7" s="5" t="s">
        <v>77</v>
      </c>
      <c r="B7" s="6" t="s">
        <v>34</v>
      </c>
      <c r="C7" s="6" t="s">
        <v>136</v>
      </c>
      <c r="D7" s="6" t="s">
        <v>137</v>
      </c>
      <c r="E7" s="5" t="s">
        <v>148</v>
      </c>
      <c r="F7" s="5" t="s">
        <v>38</v>
      </c>
      <c r="G7" s="18" t="s">
        <v>131</v>
      </c>
      <c r="H7" s="8" t="s">
        <v>39</v>
      </c>
      <c r="I7" s="9" t="s">
        <v>67</v>
      </c>
      <c r="J7" s="8" t="s">
        <v>41</v>
      </c>
      <c r="K7" s="9">
        <v>1</v>
      </c>
      <c r="L7" s="10" t="s">
        <v>43</v>
      </c>
      <c r="M7" s="9" t="s">
        <v>44</v>
      </c>
      <c r="N7" s="8" t="s">
        <v>45</v>
      </c>
      <c r="O7" s="8" t="s">
        <v>46</v>
      </c>
      <c r="P7" s="8" t="s">
        <v>46</v>
      </c>
      <c r="Q7" s="8" t="s">
        <v>47</v>
      </c>
      <c r="R7" s="8" t="s">
        <v>48</v>
      </c>
      <c r="S7" s="8" t="s">
        <v>50</v>
      </c>
      <c r="T7" s="8" t="s">
        <v>51</v>
      </c>
      <c r="U7" s="8" t="s">
        <v>46</v>
      </c>
      <c r="V7" s="9" t="s">
        <v>120</v>
      </c>
      <c r="W7" s="9" t="s">
        <v>53</v>
      </c>
      <c r="X7" s="8" t="s">
        <v>54</v>
      </c>
      <c r="Y7" s="9" t="s">
        <v>194</v>
      </c>
      <c r="Z7" s="8" t="s">
        <v>121</v>
      </c>
      <c r="AA7" s="8" t="s">
        <v>122</v>
      </c>
      <c r="AB7" s="12" t="s">
        <v>123</v>
      </c>
      <c r="AC7" s="12" t="s">
        <v>59</v>
      </c>
      <c r="AD7" s="9" t="s">
        <v>60</v>
      </c>
      <c r="AE7" s="8" t="s">
        <v>124</v>
      </c>
      <c r="AF7" s="8" t="s">
        <v>125</v>
      </c>
      <c r="AG7" s="8" t="s">
        <v>126</v>
      </c>
      <c r="AH7" s="8" t="s">
        <v>127</v>
      </c>
      <c r="AI7" s="8" t="s">
        <v>46</v>
      </c>
      <c r="AJ7" s="8" t="s">
        <v>128</v>
      </c>
    </row>
    <row r="8" spans="1:36" x14ac:dyDescent="0.35">
      <c r="A8" s="5" t="s">
        <v>90</v>
      </c>
      <c r="B8" s="6" t="s">
        <v>34</v>
      </c>
      <c r="C8" s="6" t="s">
        <v>138</v>
      </c>
      <c r="D8" s="6" t="s">
        <v>139</v>
      </c>
      <c r="E8" s="5" t="s">
        <v>148</v>
      </c>
      <c r="F8" s="5" t="s">
        <v>38</v>
      </c>
      <c r="G8" s="18" t="s">
        <v>131</v>
      </c>
      <c r="H8" s="8" t="s">
        <v>39</v>
      </c>
      <c r="I8" s="9" t="s">
        <v>40</v>
      </c>
      <c r="J8" s="8" t="s">
        <v>41</v>
      </c>
      <c r="K8" s="9">
        <v>2</v>
      </c>
      <c r="L8" s="10" t="s">
        <v>43</v>
      </c>
      <c r="M8" s="9" t="s">
        <v>44</v>
      </c>
      <c r="N8" s="8" t="s">
        <v>45</v>
      </c>
      <c r="O8" s="8" t="s">
        <v>46</v>
      </c>
      <c r="P8" s="8" t="s">
        <v>46</v>
      </c>
      <c r="Q8" s="8" t="s">
        <v>47</v>
      </c>
      <c r="R8" s="8" t="s">
        <v>48</v>
      </c>
      <c r="S8" s="8" t="s">
        <v>50</v>
      </c>
      <c r="T8" s="8" t="s">
        <v>51</v>
      </c>
      <c r="U8" s="8" t="s">
        <v>46</v>
      </c>
      <c r="V8" s="9" t="s">
        <v>120</v>
      </c>
      <c r="W8" s="9" t="s">
        <v>53</v>
      </c>
      <c r="X8" s="8" t="s">
        <v>54</v>
      </c>
      <c r="Y8" s="9" t="s">
        <v>194</v>
      </c>
      <c r="Z8" s="8" t="s">
        <v>121</v>
      </c>
      <c r="AA8" s="8" t="s">
        <v>122</v>
      </c>
      <c r="AB8" s="12" t="s">
        <v>123</v>
      </c>
      <c r="AC8" s="12" t="s">
        <v>59</v>
      </c>
      <c r="AD8" s="9" t="s">
        <v>60</v>
      </c>
      <c r="AE8" s="8" t="s">
        <v>124</v>
      </c>
      <c r="AF8" s="8" t="s">
        <v>125</v>
      </c>
      <c r="AG8" s="8" t="s">
        <v>126</v>
      </c>
      <c r="AH8" s="8" t="s">
        <v>127</v>
      </c>
      <c r="AI8" s="8" t="s">
        <v>46</v>
      </c>
      <c r="AJ8" s="8" t="s">
        <v>128</v>
      </c>
    </row>
    <row r="9" spans="1:36" x14ac:dyDescent="0.35">
      <c r="A9" s="5" t="s">
        <v>92</v>
      </c>
      <c r="B9" s="6" t="s">
        <v>34</v>
      </c>
      <c r="C9" s="6" t="s">
        <v>140</v>
      </c>
      <c r="D9" s="6" t="s">
        <v>141</v>
      </c>
      <c r="E9" s="5" t="s">
        <v>149</v>
      </c>
      <c r="F9" s="5" t="s">
        <v>38</v>
      </c>
      <c r="G9" s="18" t="s">
        <v>131</v>
      </c>
      <c r="H9" s="8" t="s">
        <v>39</v>
      </c>
      <c r="I9" s="9" t="s">
        <v>67</v>
      </c>
      <c r="J9" s="8" t="s">
        <v>41</v>
      </c>
      <c r="K9" s="9">
        <v>2</v>
      </c>
      <c r="L9" s="10" t="s">
        <v>43</v>
      </c>
      <c r="M9" s="9" t="s">
        <v>44</v>
      </c>
      <c r="N9" s="8" t="s">
        <v>45</v>
      </c>
      <c r="O9" s="8" t="s">
        <v>46</v>
      </c>
      <c r="P9" s="8" t="s">
        <v>46</v>
      </c>
      <c r="Q9" s="8" t="s">
        <v>47</v>
      </c>
      <c r="R9" s="8" t="s">
        <v>48</v>
      </c>
      <c r="S9" s="8" t="s">
        <v>50</v>
      </c>
      <c r="T9" s="8" t="s">
        <v>51</v>
      </c>
      <c r="U9" s="8" t="s">
        <v>46</v>
      </c>
      <c r="V9" s="9" t="s">
        <v>120</v>
      </c>
      <c r="W9" s="9" t="s">
        <v>53</v>
      </c>
      <c r="X9" s="8" t="s">
        <v>54</v>
      </c>
      <c r="Y9" s="9" t="s">
        <v>194</v>
      </c>
      <c r="Z9" s="8" t="s">
        <v>121</v>
      </c>
      <c r="AA9" s="8" t="s">
        <v>122</v>
      </c>
      <c r="AB9" s="12" t="s">
        <v>123</v>
      </c>
      <c r="AC9" s="12" t="s">
        <v>59</v>
      </c>
      <c r="AD9" s="9" t="s">
        <v>60</v>
      </c>
      <c r="AE9" s="8" t="s">
        <v>124</v>
      </c>
      <c r="AF9" s="8" t="s">
        <v>125</v>
      </c>
      <c r="AG9" s="8" t="s">
        <v>126</v>
      </c>
      <c r="AH9" s="8" t="s">
        <v>127</v>
      </c>
      <c r="AI9" s="8" t="s">
        <v>46</v>
      </c>
      <c r="AJ9" s="8" t="s">
        <v>128</v>
      </c>
    </row>
    <row r="10" spans="1:36" x14ac:dyDescent="0.35">
      <c r="A10" s="5" t="s">
        <v>94</v>
      </c>
      <c r="B10" s="6" t="s">
        <v>34</v>
      </c>
      <c r="C10" s="6" t="s">
        <v>142</v>
      </c>
      <c r="D10" s="6" t="s">
        <v>143</v>
      </c>
      <c r="E10" s="5" t="s">
        <v>150</v>
      </c>
      <c r="F10" s="5" t="s">
        <v>38</v>
      </c>
      <c r="G10" s="18" t="s">
        <v>131</v>
      </c>
      <c r="H10" s="8" t="s">
        <v>39</v>
      </c>
      <c r="I10" s="9" t="s">
        <v>67</v>
      </c>
      <c r="J10" s="8" t="s">
        <v>41</v>
      </c>
      <c r="K10" s="9">
        <v>3</v>
      </c>
      <c r="L10" s="10" t="s">
        <v>43</v>
      </c>
      <c r="M10" s="9" t="s">
        <v>44</v>
      </c>
      <c r="N10" s="8" t="s">
        <v>45</v>
      </c>
      <c r="O10" s="8" t="s">
        <v>46</v>
      </c>
      <c r="P10" s="8" t="s">
        <v>46</v>
      </c>
      <c r="Q10" s="8" t="s">
        <v>47</v>
      </c>
      <c r="R10" s="8" t="s">
        <v>48</v>
      </c>
      <c r="S10" s="8" t="s">
        <v>50</v>
      </c>
      <c r="T10" s="8" t="s">
        <v>51</v>
      </c>
      <c r="U10" s="8" t="s">
        <v>46</v>
      </c>
      <c r="V10" s="9" t="s">
        <v>120</v>
      </c>
      <c r="W10" s="9" t="s">
        <v>53</v>
      </c>
      <c r="X10" s="8" t="s">
        <v>54</v>
      </c>
      <c r="Y10" s="9" t="s">
        <v>194</v>
      </c>
      <c r="Z10" s="8" t="s">
        <v>121</v>
      </c>
      <c r="AA10" s="8" t="s">
        <v>122</v>
      </c>
      <c r="AB10" s="12" t="s">
        <v>123</v>
      </c>
      <c r="AC10" s="12" t="s">
        <v>59</v>
      </c>
      <c r="AD10" s="9" t="s">
        <v>60</v>
      </c>
      <c r="AE10" s="8" t="s">
        <v>124</v>
      </c>
      <c r="AF10" s="8" t="s">
        <v>125</v>
      </c>
      <c r="AG10" s="8" t="s">
        <v>126</v>
      </c>
      <c r="AH10" s="8" t="s">
        <v>127</v>
      </c>
      <c r="AI10" s="8" t="s">
        <v>46</v>
      </c>
      <c r="AJ10" s="8" t="s">
        <v>128</v>
      </c>
    </row>
    <row r="11" spans="1:36" x14ac:dyDescent="0.35">
      <c r="A11" s="5" t="s">
        <v>96</v>
      </c>
      <c r="B11" s="6" t="s">
        <v>34</v>
      </c>
      <c r="C11" s="6" t="s">
        <v>144</v>
      </c>
      <c r="D11" s="6" t="s">
        <v>145</v>
      </c>
      <c r="E11" s="5" t="s">
        <v>151</v>
      </c>
      <c r="F11" s="5" t="s">
        <v>38</v>
      </c>
      <c r="G11" s="18" t="s">
        <v>131</v>
      </c>
      <c r="H11" s="8" t="s">
        <v>39</v>
      </c>
      <c r="I11" s="9" t="s">
        <v>67</v>
      </c>
      <c r="J11" s="8" t="s">
        <v>41</v>
      </c>
      <c r="K11" s="9">
        <v>1</v>
      </c>
      <c r="L11" s="10" t="s">
        <v>43</v>
      </c>
      <c r="M11" s="9" t="s">
        <v>44</v>
      </c>
      <c r="N11" s="8" t="s">
        <v>45</v>
      </c>
      <c r="O11" s="8" t="s">
        <v>46</v>
      </c>
      <c r="P11" s="8" t="s">
        <v>46</v>
      </c>
      <c r="Q11" s="8" t="s">
        <v>47</v>
      </c>
      <c r="R11" s="8" t="s">
        <v>48</v>
      </c>
      <c r="S11" s="8" t="s">
        <v>50</v>
      </c>
      <c r="T11" s="8" t="s">
        <v>51</v>
      </c>
      <c r="U11" s="8" t="s">
        <v>46</v>
      </c>
      <c r="V11" s="9" t="s">
        <v>120</v>
      </c>
      <c r="W11" s="9" t="s">
        <v>53</v>
      </c>
      <c r="X11" s="8" t="s">
        <v>54</v>
      </c>
      <c r="Y11" s="9" t="s">
        <v>194</v>
      </c>
      <c r="Z11" s="8" t="s">
        <v>121</v>
      </c>
      <c r="AA11" s="8" t="s">
        <v>122</v>
      </c>
      <c r="AB11" s="12" t="s">
        <v>123</v>
      </c>
      <c r="AC11" s="12" t="s">
        <v>59</v>
      </c>
      <c r="AD11" s="9" t="s">
        <v>60</v>
      </c>
      <c r="AE11" s="8" t="s">
        <v>124</v>
      </c>
      <c r="AF11" s="8" t="s">
        <v>125</v>
      </c>
      <c r="AG11" s="8" t="s">
        <v>126</v>
      </c>
      <c r="AH11" s="8" t="s">
        <v>127</v>
      </c>
      <c r="AI11" s="8" t="s">
        <v>46</v>
      </c>
      <c r="AJ11" s="8" t="s">
        <v>128</v>
      </c>
    </row>
    <row r="12" spans="1:36" x14ac:dyDescent="0.35">
      <c r="A12" s="5" t="s">
        <v>98</v>
      </c>
      <c r="B12" s="6" t="s">
        <v>34</v>
      </c>
      <c r="C12" s="6" t="s">
        <v>146</v>
      </c>
      <c r="D12" s="6" t="s">
        <v>147</v>
      </c>
      <c r="E12" s="5" t="s">
        <v>149</v>
      </c>
      <c r="F12" s="5" t="s">
        <v>38</v>
      </c>
      <c r="G12" s="18" t="s">
        <v>131</v>
      </c>
      <c r="H12" s="8" t="s">
        <v>39</v>
      </c>
      <c r="I12" s="9" t="s">
        <v>67</v>
      </c>
      <c r="J12" s="8" t="s">
        <v>41</v>
      </c>
      <c r="K12" s="9">
        <v>1</v>
      </c>
      <c r="L12" s="10" t="s">
        <v>43</v>
      </c>
      <c r="M12" s="9" t="s">
        <v>44</v>
      </c>
      <c r="N12" s="8" t="s">
        <v>45</v>
      </c>
      <c r="O12" s="8" t="s">
        <v>46</v>
      </c>
      <c r="P12" s="8" t="s">
        <v>46</v>
      </c>
      <c r="Q12" s="8" t="s">
        <v>47</v>
      </c>
      <c r="R12" s="8" t="s">
        <v>48</v>
      </c>
      <c r="S12" s="8" t="s">
        <v>50</v>
      </c>
      <c r="T12" s="8" t="s">
        <v>51</v>
      </c>
      <c r="U12" s="8" t="s">
        <v>46</v>
      </c>
      <c r="V12" s="9" t="s">
        <v>120</v>
      </c>
      <c r="W12" s="9" t="s">
        <v>53</v>
      </c>
      <c r="X12" s="8" t="s">
        <v>54</v>
      </c>
      <c r="Y12" s="9" t="s">
        <v>194</v>
      </c>
      <c r="Z12" s="8" t="s">
        <v>121</v>
      </c>
      <c r="AA12" s="8" t="s">
        <v>122</v>
      </c>
      <c r="AB12" s="12" t="s">
        <v>123</v>
      </c>
      <c r="AC12" s="12" t="s">
        <v>59</v>
      </c>
      <c r="AD12" s="9" t="s">
        <v>60</v>
      </c>
      <c r="AE12" s="8" t="s">
        <v>124</v>
      </c>
      <c r="AF12" s="8" t="s">
        <v>125</v>
      </c>
      <c r="AG12" s="8" t="s">
        <v>126</v>
      </c>
      <c r="AH12" s="8" t="s">
        <v>127</v>
      </c>
      <c r="AI12" s="8" t="s">
        <v>46</v>
      </c>
      <c r="AJ12" s="8" t="s">
        <v>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B1BFF-783E-4C7C-9AD5-E595122329E2}">
  <dimension ref="A1:M7"/>
  <sheetViews>
    <sheetView workbookViewId="0">
      <selection activeCell="C3" sqref="C3:C7"/>
    </sheetView>
  </sheetViews>
  <sheetFormatPr defaultRowHeight="14.5" x14ac:dyDescent="0.35"/>
  <cols>
    <col min="1" max="1" width="14.7265625" customWidth="1"/>
    <col min="2" max="2" width="20.1796875" customWidth="1"/>
    <col min="3" max="3" width="17.26953125" customWidth="1"/>
    <col min="4" max="4" width="21.90625" customWidth="1"/>
    <col min="5" max="5" width="15.26953125" customWidth="1"/>
    <col min="6" max="6" width="48.1796875" customWidth="1"/>
    <col min="7" max="7" width="8.7265625" customWidth="1"/>
    <col min="8" max="8" width="8.984375E-2" customWidth="1"/>
    <col min="9" max="13" width="8.7265625" hidden="1" customWidth="1"/>
  </cols>
  <sheetData>
    <row r="1" spans="1:13" x14ac:dyDescent="0.35">
      <c r="A1" s="25" t="s">
        <v>152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3" x14ac:dyDescent="0.35">
      <c r="A2" s="2" t="s">
        <v>2</v>
      </c>
      <c r="B2" s="2" t="s">
        <v>153</v>
      </c>
      <c r="C2" s="2" t="s">
        <v>154</v>
      </c>
      <c r="D2" s="2" t="s">
        <v>155</v>
      </c>
      <c r="E2" s="2" t="s">
        <v>156</v>
      </c>
      <c r="F2" s="2" t="s">
        <v>157</v>
      </c>
      <c r="G2" s="2" t="s">
        <v>158</v>
      </c>
    </row>
    <row r="3" spans="1:13" x14ac:dyDescent="0.35">
      <c r="A3" s="5" t="s">
        <v>33</v>
      </c>
      <c r="B3" s="6" t="s">
        <v>108</v>
      </c>
      <c r="C3" s="6" t="s">
        <v>159</v>
      </c>
      <c r="D3" s="6" t="s">
        <v>160</v>
      </c>
      <c r="E3" s="9" t="s">
        <v>161</v>
      </c>
      <c r="F3" s="5" t="s">
        <v>162</v>
      </c>
      <c r="G3" s="8" t="s">
        <v>163</v>
      </c>
    </row>
    <row r="4" spans="1:13" x14ac:dyDescent="0.35">
      <c r="A4" s="5" t="s">
        <v>62</v>
      </c>
      <c r="B4" s="6" t="s">
        <v>107</v>
      </c>
      <c r="C4" s="6" t="s">
        <v>159</v>
      </c>
      <c r="D4" s="6" t="s">
        <v>160</v>
      </c>
      <c r="E4" s="9" t="s">
        <v>161</v>
      </c>
      <c r="F4" s="5" t="s">
        <v>162</v>
      </c>
      <c r="G4" s="8" t="s">
        <v>163</v>
      </c>
    </row>
    <row r="5" spans="1:13" x14ac:dyDescent="0.35">
      <c r="A5" s="5" t="s">
        <v>69</v>
      </c>
      <c r="B5" s="6" t="s">
        <v>109</v>
      </c>
      <c r="C5" s="6" t="s">
        <v>159</v>
      </c>
      <c r="D5" s="6" t="s">
        <v>160</v>
      </c>
      <c r="E5" s="9" t="s">
        <v>161</v>
      </c>
      <c r="F5" s="5" t="s">
        <v>162</v>
      </c>
      <c r="G5" s="8" t="s">
        <v>163</v>
      </c>
    </row>
    <row r="6" spans="1:13" x14ac:dyDescent="0.35">
      <c r="A6" s="5" t="s">
        <v>73</v>
      </c>
      <c r="B6" s="6" t="s">
        <v>164</v>
      </c>
      <c r="C6" s="6" t="s">
        <v>159</v>
      </c>
      <c r="D6" s="6" t="s">
        <v>160</v>
      </c>
      <c r="E6" s="9" t="s">
        <v>161</v>
      </c>
      <c r="F6" s="5" t="s">
        <v>162</v>
      </c>
      <c r="G6" s="8" t="s">
        <v>163</v>
      </c>
    </row>
    <row r="7" spans="1:13" x14ac:dyDescent="0.35">
      <c r="A7" s="5" t="s">
        <v>77</v>
      </c>
      <c r="B7" s="6" t="s">
        <v>165</v>
      </c>
      <c r="C7" s="6" t="s">
        <v>159</v>
      </c>
      <c r="D7" s="6" t="s">
        <v>160</v>
      </c>
      <c r="E7" s="9" t="s">
        <v>161</v>
      </c>
      <c r="F7" s="5" t="s">
        <v>162</v>
      </c>
      <c r="G7" s="8" t="s">
        <v>163</v>
      </c>
    </row>
  </sheetData>
  <mergeCells count="1">
    <mergeCell ref="A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6885B-352E-406A-8A85-CD87DC912334}">
  <dimension ref="A1:M7"/>
  <sheetViews>
    <sheetView workbookViewId="0">
      <selection activeCell="C10" sqref="C10"/>
    </sheetView>
  </sheetViews>
  <sheetFormatPr defaultRowHeight="14.5" x14ac:dyDescent="0.35"/>
  <cols>
    <col min="1" max="1" width="15" customWidth="1"/>
    <col min="2" max="2" width="17.36328125" customWidth="1"/>
    <col min="3" max="3" width="15.90625" customWidth="1"/>
    <col min="4" max="4" width="17.26953125" customWidth="1"/>
    <col min="5" max="5" width="16" customWidth="1"/>
    <col min="6" max="6" width="48.08984375" customWidth="1"/>
    <col min="7" max="7" width="22.08984375" customWidth="1"/>
  </cols>
  <sheetData>
    <row r="1" spans="1:13" x14ac:dyDescent="0.35">
      <c r="A1" s="25" t="s">
        <v>152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3" x14ac:dyDescent="0.35">
      <c r="A2" s="2" t="s">
        <v>2</v>
      </c>
      <c r="B2" s="2" t="s">
        <v>153</v>
      </c>
      <c r="C2" s="2" t="s">
        <v>154</v>
      </c>
      <c r="D2" s="2" t="s">
        <v>155</v>
      </c>
      <c r="E2" s="2" t="s">
        <v>156</v>
      </c>
      <c r="F2" s="2" t="s">
        <v>157</v>
      </c>
      <c r="G2" s="2" t="s">
        <v>179</v>
      </c>
    </row>
    <row r="3" spans="1:13" x14ac:dyDescent="0.35">
      <c r="A3" s="5" t="s">
        <v>33</v>
      </c>
      <c r="B3" s="9" t="s">
        <v>183</v>
      </c>
      <c r="C3" s="6" t="s">
        <v>159</v>
      </c>
      <c r="D3" s="9" t="s">
        <v>180</v>
      </c>
      <c r="E3" s="9" t="s">
        <v>161</v>
      </c>
      <c r="F3" s="5" t="s">
        <v>162</v>
      </c>
      <c r="G3" s="9" t="s">
        <v>181</v>
      </c>
    </row>
    <row r="4" spans="1:13" x14ac:dyDescent="0.35">
      <c r="A4" s="5" t="s">
        <v>62</v>
      </c>
      <c r="B4" s="9" t="s">
        <v>182</v>
      </c>
      <c r="C4" s="6" t="s">
        <v>159</v>
      </c>
      <c r="D4" s="9" t="s">
        <v>180</v>
      </c>
      <c r="E4" s="9" t="s">
        <v>161</v>
      </c>
      <c r="F4" s="5" t="s">
        <v>162</v>
      </c>
      <c r="G4" s="9" t="s">
        <v>181</v>
      </c>
    </row>
    <row r="5" spans="1:13" x14ac:dyDescent="0.35">
      <c r="A5" s="5" t="s">
        <v>69</v>
      </c>
      <c r="B5" s="9" t="s">
        <v>182</v>
      </c>
      <c r="C5" s="6" t="s">
        <v>159</v>
      </c>
      <c r="D5" s="9" t="s">
        <v>180</v>
      </c>
      <c r="E5" s="9" t="s">
        <v>161</v>
      </c>
      <c r="F5" s="5" t="s">
        <v>162</v>
      </c>
      <c r="G5" s="9" t="s">
        <v>181</v>
      </c>
    </row>
    <row r="6" spans="1:13" x14ac:dyDescent="0.35">
      <c r="A6" s="5" t="s">
        <v>73</v>
      </c>
      <c r="B6" s="9" t="s">
        <v>182</v>
      </c>
      <c r="C6" s="6" t="s">
        <v>159</v>
      </c>
      <c r="D6" s="9" t="s">
        <v>180</v>
      </c>
      <c r="E6" s="9" t="s">
        <v>161</v>
      </c>
      <c r="F6" s="5" t="s">
        <v>162</v>
      </c>
      <c r="G6" s="9" t="s">
        <v>181</v>
      </c>
    </row>
    <row r="7" spans="1:13" x14ac:dyDescent="0.35">
      <c r="A7" s="5" t="s">
        <v>77</v>
      </c>
      <c r="B7" s="9" t="s">
        <v>182</v>
      </c>
      <c r="C7" s="6" t="s">
        <v>159</v>
      </c>
      <c r="D7" s="9" t="s">
        <v>180</v>
      </c>
      <c r="E7" s="9" t="s">
        <v>161</v>
      </c>
      <c r="F7" s="5" t="s">
        <v>162</v>
      </c>
      <c r="G7" s="9" t="s">
        <v>181</v>
      </c>
    </row>
  </sheetData>
  <mergeCells count="1">
    <mergeCell ref="A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F68CD-C5BF-4D72-BCB0-B0D77596AE8B}">
  <dimension ref="A1:AK7"/>
  <sheetViews>
    <sheetView workbookViewId="0">
      <selection activeCell="E9" sqref="E9"/>
    </sheetView>
  </sheetViews>
  <sheetFormatPr defaultRowHeight="14.5" x14ac:dyDescent="0.35"/>
  <cols>
    <col min="1" max="1" width="14.7265625" customWidth="1"/>
    <col min="2" max="2" width="16.54296875" customWidth="1"/>
    <col min="3" max="3" width="15.7265625" customWidth="1"/>
  </cols>
  <sheetData>
    <row r="1" spans="1:37" x14ac:dyDescent="0.3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 t="s">
        <v>1</v>
      </c>
      <c r="AF1" s="1"/>
      <c r="AG1" s="1"/>
      <c r="AH1" s="14"/>
      <c r="AI1" s="14"/>
      <c r="AJ1" s="14"/>
      <c r="AK1" s="14"/>
    </row>
    <row r="2" spans="1:37" x14ac:dyDescent="0.35">
      <c r="A2" s="2" t="s">
        <v>2</v>
      </c>
      <c r="B2" s="2" t="s">
        <v>184</v>
      </c>
      <c r="C2" s="2" t="s">
        <v>185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186</v>
      </c>
      <c r="N2" s="2" t="s">
        <v>187</v>
      </c>
      <c r="O2" s="2" t="s">
        <v>157</v>
      </c>
      <c r="P2" s="2" t="s">
        <v>12</v>
      </c>
      <c r="Q2" s="2" t="s">
        <v>188</v>
      </c>
      <c r="R2" s="2" t="s">
        <v>13</v>
      </c>
      <c r="S2" s="2" t="s">
        <v>14</v>
      </c>
      <c r="T2" s="3" t="s">
        <v>15</v>
      </c>
      <c r="U2" s="3" t="s">
        <v>16</v>
      </c>
      <c r="V2" s="3" t="s">
        <v>17</v>
      </c>
      <c r="W2" s="3" t="s">
        <v>18</v>
      </c>
      <c r="X2" s="4" t="s">
        <v>19</v>
      </c>
      <c r="Y2" s="3" t="s">
        <v>20</v>
      </c>
      <c r="Z2" s="3" t="s">
        <v>21</v>
      </c>
      <c r="AA2" s="4" t="s">
        <v>22</v>
      </c>
      <c r="AB2" s="4" t="s">
        <v>23</v>
      </c>
      <c r="AC2" s="3" t="s">
        <v>24</v>
      </c>
      <c r="AD2" s="3" t="s">
        <v>25</v>
      </c>
      <c r="AE2" s="3" t="s">
        <v>26</v>
      </c>
      <c r="AF2" s="3" t="s">
        <v>27</v>
      </c>
      <c r="AG2" s="3" t="s">
        <v>28</v>
      </c>
      <c r="AH2" s="3" t="s">
        <v>29</v>
      </c>
      <c r="AI2" s="3" t="s">
        <v>30</v>
      </c>
      <c r="AJ2" s="3" t="s">
        <v>31</v>
      </c>
      <c r="AK2" s="3" t="s">
        <v>32</v>
      </c>
    </row>
    <row r="3" spans="1:37" x14ac:dyDescent="0.35">
      <c r="A3" s="5" t="s">
        <v>33</v>
      </c>
      <c r="B3" s="5"/>
      <c r="C3" s="5"/>
      <c r="D3" s="6" t="s">
        <v>34</v>
      </c>
      <c r="E3" s="6" t="s">
        <v>35</v>
      </c>
      <c r="F3" s="6" t="s">
        <v>36</v>
      </c>
      <c r="G3" s="5" t="s">
        <v>37</v>
      </c>
      <c r="H3" s="5" t="s">
        <v>38</v>
      </c>
      <c r="I3" s="7" t="s">
        <v>101</v>
      </c>
      <c r="J3" s="8" t="s">
        <v>39</v>
      </c>
      <c r="K3" s="9" t="s">
        <v>40</v>
      </c>
      <c r="L3" s="8" t="s">
        <v>41</v>
      </c>
      <c r="M3" s="8"/>
      <c r="N3" s="8"/>
      <c r="O3" s="8"/>
      <c r="P3" s="9" t="s">
        <v>42</v>
      </c>
      <c r="Q3" s="19"/>
      <c r="R3" s="10" t="s">
        <v>43</v>
      </c>
      <c r="S3" s="9" t="s">
        <v>44</v>
      </c>
      <c r="T3" s="8" t="s">
        <v>45</v>
      </c>
      <c r="U3" s="8" t="s">
        <v>46</v>
      </c>
      <c r="V3" s="8" t="s">
        <v>46</v>
      </c>
      <c r="W3" s="8" t="s">
        <v>47</v>
      </c>
      <c r="X3" s="8" t="s">
        <v>48</v>
      </c>
      <c r="Y3" s="11" t="s">
        <v>50</v>
      </c>
      <c r="Z3" s="8" t="s">
        <v>51</v>
      </c>
      <c r="AA3" s="12" t="s">
        <v>46</v>
      </c>
      <c r="AB3" s="12" t="s">
        <v>52</v>
      </c>
      <c r="AC3" s="9" t="s">
        <v>49</v>
      </c>
      <c r="AD3" s="9" t="s">
        <v>54</v>
      </c>
      <c r="AE3" s="13" t="s">
        <v>55</v>
      </c>
      <c r="AF3" s="8" t="s">
        <v>56</v>
      </c>
      <c r="AG3" s="9" t="s">
        <v>57</v>
      </c>
      <c r="AH3" s="9" t="s">
        <v>58</v>
      </c>
      <c r="AI3" s="9" t="s">
        <v>59</v>
      </c>
      <c r="AJ3" s="9" t="s">
        <v>60</v>
      </c>
      <c r="AK3" s="9" t="s">
        <v>61</v>
      </c>
    </row>
    <row r="4" spans="1:37" x14ac:dyDescent="0.35">
      <c r="A4" s="5" t="s">
        <v>62</v>
      </c>
      <c r="B4" s="5"/>
      <c r="C4" s="5"/>
      <c r="D4" s="6" t="s">
        <v>34</v>
      </c>
      <c r="E4" s="6" t="s">
        <v>63</v>
      </c>
      <c r="F4" s="6" t="s">
        <v>64</v>
      </c>
      <c r="G4" s="5" t="s">
        <v>37</v>
      </c>
      <c r="H4" s="5" t="s">
        <v>65</v>
      </c>
      <c r="I4" s="7" t="s">
        <v>100</v>
      </c>
      <c r="J4" s="8" t="s">
        <v>66</v>
      </c>
      <c r="K4" s="9" t="s">
        <v>67</v>
      </c>
      <c r="L4" s="8" t="s">
        <v>41</v>
      </c>
      <c r="M4" s="8"/>
      <c r="N4" s="8"/>
      <c r="O4" s="8"/>
      <c r="P4" s="9" t="s">
        <v>42</v>
      </c>
      <c r="Q4" s="19"/>
      <c r="R4" s="10" t="s">
        <v>43</v>
      </c>
      <c r="S4" s="9" t="s">
        <v>44</v>
      </c>
      <c r="T4" s="8" t="s">
        <v>45</v>
      </c>
      <c r="U4" s="8" t="s">
        <v>46</v>
      </c>
      <c r="V4" s="8" t="s">
        <v>46</v>
      </c>
      <c r="W4" s="8" t="s">
        <v>68</v>
      </c>
      <c r="X4" s="8" t="s">
        <v>48</v>
      </c>
      <c r="Y4" s="11" t="s">
        <v>50</v>
      </c>
      <c r="Z4" s="8" t="s">
        <v>51</v>
      </c>
      <c r="AA4" s="12" t="s">
        <v>46</v>
      </c>
      <c r="AB4" s="12" t="s">
        <v>52</v>
      </c>
      <c r="AC4" s="9" t="s">
        <v>49</v>
      </c>
      <c r="AD4" s="9" t="s">
        <v>54</v>
      </c>
      <c r="AE4" s="13" t="s">
        <v>55</v>
      </c>
      <c r="AF4" s="8" t="s">
        <v>56</v>
      </c>
      <c r="AG4" s="9" t="s">
        <v>57</v>
      </c>
      <c r="AH4" s="9" t="s">
        <v>58</v>
      </c>
      <c r="AI4" s="9" t="s">
        <v>59</v>
      </c>
      <c r="AJ4" s="9" t="s">
        <v>60</v>
      </c>
      <c r="AK4" s="9" t="s">
        <v>61</v>
      </c>
    </row>
    <row r="5" spans="1:37" x14ac:dyDescent="0.35">
      <c r="A5" s="5" t="s">
        <v>69</v>
      </c>
      <c r="B5" t="s">
        <v>191</v>
      </c>
      <c r="C5" t="s">
        <v>159</v>
      </c>
      <c r="D5" s="6" t="s">
        <v>34</v>
      </c>
      <c r="E5" s="6" t="s">
        <v>63</v>
      </c>
      <c r="F5" s="6" t="s">
        <v>64</v>
      </c>
      <c r="G5" s="5" t="s">
        <v>70</v>
      </c>
      <c r="H5" s="5" t="s">
        <v>71</v>
      </c>
      <c r="I5" s="7" t="s">
        <v>102</v>
      </c>
      <c r="J5" s="8" t="s">
        <v>72</v>
      </c>
      <c r="K5" s="9" t="s">
        <v>67</v>
      </c>
      <c r="L5" s="8" t="s">
        <v>41</v>
      </c>
      <c r="M5" s="8" t="s">
        <v>189</v>
      </c>
      <c r="N5" s="9" t="s">
        <v>170</v>
      </c>
      <c r="O5" s="9" t="s">
        <v>190</v>
      </c>
      <c r="P5" s="9" t="s">
        <v>42</v>
      </c>
      <c r="Q5" s="19" t="s">
        <v>163</v>
      </c>
      <c r="R5" s="10" t="s">
        <v>43</v>
      </c>
      <c r="S5" s="9" t="s">
        <v>44</v>
      </c>
      <c r="T5" s="8" t="s">
        <v>45</v>
      </c>
      <c r="U5" s="8" t="s">
        <v>46</v>
      </c>
      <c r="V5" s="8" t="s">
        <v>46</v>
      </c>
      <c r="W5" s="8" t="s">
        <v>68</v>
      </c>
      <c r="X5" s="8" t="s">
        <v>48</v>
      </c>
      <c r="Y5" s="11" t="s">
        <v>50</v>
      </c>
      <c r="Z5" s="8" t="s">
        <v>51</v>
      </c>
      <c r="AA5" s="12" t="s">
        <v>46</v>
      </c>
      <c r="AB5" s="12" t="s">
        <v>52</v>
      </c>
      <c r="AC5" s="9" t="s">
        <v>53</v>
      </c>
      <c r="AD5" s="9" t="s">
        <v>54</v>
      </c>
      <c r="AE5" s="13" t="s">
        <v>55</v>
      </c>
      <c r="AF5" s="8" t="s">
        <v>56</v>
      </c>
      <c r="AG5" s="9" t="s">
        <v>57</v>
      </c>
      <c r="AH5" s="9" t="s">
        <v>58</v>
      </c>
      <c r="AI5" s="9" t="s">
        <v>59</v>
      </c>
      <c r="AJ5" s="9" t="s">
        <v>60</v>
      </c>
      <c r="AK5" s="9" t="s">
        <v>61</v>
      </c>
    </row>
    <row r="6" spans="1:37" x14ac:dyDescent="0.35">
      <c r="A6" s="5" t="s">
        <v>73</v>
      </c>
      <c r="B6" s="5"/>
      <c r="C6" s="5"/>
      <c r="D6" s="6" t="s">
        <v>34</v>
      </c>
      <c r="E6" s="6" t="s">
        <v>63</v>
      </c>
      <c r="F6" s="6" t="s">
        <v>64</v>
      </c>
      <c r="G6" s="5" t="s">
        <v>74</v>
      </c>
      <c r="H6" s="5" t="s">
        <v>75</v>
      </c>
      <c r="I6" s="7" t="s">
        <v>103</v>
      </c>
      <c r="J6" s="8" t="s">
        <v>76</v>
      </c>
      <c r="K6" s="9" t="s">
        <v>67</v>
      </c>
      <c r="L6" s="8" t="s">
        <v>41</v>
      </c>
      <c r="M6" s="8"/>
      <c r="N6" s="8"/>
      <c r="O6" s="8"/>
      <c r="P6" s="9" t="s">
        <v>42</v>
      </c>
      <c r="Q6" s="19"/>
      <c r="R6" s="10" t="s">
        <v>43</v>
      </c>
      <c r="S6" s="9" t="s">
        <v>44</v>
      </c>
      <c r="T6" s="8" t="s">
        <v>45</v>
      </c>
      <c r="U6" s="8" t="s">
        <v>46</v>
      </c>
      <c r="V6" s="8" t="s">
        <v>46</v>
      </c>
      <c r="W6" s="8" t="s">
        <v>68</v>
      </c>
      <c r="X6" s="8" t="s">
        <v>48</v>
      </c>
      <c r="Y6" s="11" t="s">
        <v>50</v>
      </c>
      <c r="Z6" s="8" t="s">
        <v>51</v>
      </c>
      <c r="AA6" s="12" t="s">
        <v>46</v>
      </c>
      <c r="AB6" s="12" t="s">
        <v>52</v>
      </c>
      <c r="AC6" s="9" t="s">
        <v>53</v>
      </c>
      <c r="AD6" s="9" t="s">
        <v>54</v>
      </c>
      <c r="AE6" s="13" t="s">
        <v>55</v>
      </c>
      <c r="AF6" s="8" t="s">
        <v>56</v>
      </c>
      <c r="AG6" s="9" t="s">
        <v>57</v>
      </c>
      <c r="AH6" s="9" t="s">
        <v>58</v>
      </c>
      <c r="AI6" s="9" t="s">
        <v>59</v>
      </c>
      <c r="AJ6" s="9" t="s">
        <v>60</v>
      </c>
      <c r="AK6" s="9" t="s">
        <v>61</v>
      </c>
    </row>
    <row r="7" spans="1:37" x14ac:dyDescent="0.35">
      <c r="A7" s="5" t="s">
        <v>77</v>
      </c>
      <c r="B7" s="5"/>
      <c r="C7" s="5"/>
      <c r="D7" s="6" t="s">
        <v>34</v>
      </c>
      <c r="E7" s="6" t="s">
        <v>63</v>
      </c>
      <c r="F7" s="6" t="s">
        <v>64</v>
      </c>
      <c r="G7" s="5" t="s">
        <v>78</v>
      </c>
      <c r="H7" s="5" t="s">
        <v>79</v>
      </c>
      <c r="I7" s="7" t="s">
        <v>104</v>
      </c>
      <c r="J7" s="8" t="s">
        <v>80</v>
      </c>
      <c r="K7" s="9" t="s">
        <v>67</v>
      </c>
      <c r="L7" s="8" t="s">
        <v>41</v>
      </c>
      <c r="M7" s="8"/>
      <c r="N7" s="8"/>
      <c r="O7" s="8"/>
      <c r="P7" s="9" t="s">
        <v>42</v>
      </c>
      <c r="Q7" s="19"/>
      <c r="R7" s="10" t="s">
        <v>43</v>
      </c>
      <c r="S7" s="9" t="s">
        <v>44</v>
      </c>
      <c r="T7" s="8" t="s">
        <v>45</v>
      </c>
      <c r="U7" s="8" t="s">
        <v>46</v>
      </c>
      <c r="V7" s="8" t="s">
        <v>46</v>
      </c>
      <c r="W7" s="8" t="s">
        <v>68</v>
      </c>
      <c r="X7" s="8" t="s">
        <v>48</v>
      </c>
      <c r="Y7" s="11" t="s">
        <v>50</v>
      </c>
      <c r="Z7" s="8" t="s">
        <v>51</v>
      </c>
      <c r="AA7" s="12" t="s">
        <v>46</v>
      </c>
      <c r="AB7" s="12" t="s">
        <v>52</v>
      </c>
      <c r="AC7" s="9" t="s">
        <v>53</v>
      </c>
      <c r="AD7" s="9" t="s">
        <v>54</v>
      </c>
      <c r="AE7" s="13" t="s">
        <v>55</v>
      </c>
      <c r="AF7" s="8" t="s">
        <v>56</v>
      </c>
      <c r="AG7" s="9" t="s">
        <v>57</v>
      </c>
      <c r="AH7" s="9" t="s">
        <v>58</v>
      </c>
      <c r="AI7" s="9" t="s">
        <v>59</v>
      </c>
      <c r="AJ7" s="9" t="s">
        <v>60</v>
      </c>
      <c r="AK7" s="9" t="s">
        <v>61</v>
      </c>
    </row>
  </sheetData>
  <mergeCells count="1">
    <mergeCell ref="A1:S1"/>
  </mergeCells>
  <hyperlinks>
    <hyperlink ref="I3" r:id="rId1" xr:uid="{D8CFE2D6-F789-4532-90AB-A8EE503DE334}"/>
    <hyperlink ref="I5" r:id="rId2" xr:uid="{B61DD253-78E8-4F26-A93D-621921F36039}"/>
    <hyperlink ref="I6" r:id="rId3" xr:uid="{650E6998-FE6C-425F-B44C-93EC5958967E}"/>
    <hyperlink ref="I7" r:id="rId4" xr:uid="{636D625C-E3CC-4A4F-B41B-7EE8345443E0}"/>
    <hyperlink ref="I4" r:id="rId5" xr:uid="{9CB6E9B1-3215-45BB-967E-D0A80146917C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B7565-B637-40D8-B68B-58AAFA9A12DF}">
  <dimension ref="A1:F11"/>
  <sheetViews>
    <sheetView workbookViewId="0">
      <selection activeCell="D16" sqref="D16"/>
    </sheetView>
  </sheetViews>
  <sheetFormatPr defaultRowHeight="14.5" x14ac:dyDescent="0.35"/>
  <cols>
    <col min="1" max="1" width="24.453125" customWidth="1" collapsed="1"/>
    <col min="2" max="2" width="29.90625" customWidth="1" collapsed="1"/>
    <col min="3" max="3" width="23.1796875" customWidth="1" collapsed="1"/>
    <col min="4" max="4" width="27.6328125" customWidth="1" collapsed="1"/>
    <col min="5" max="5" width="17.7265625" customWidth="1" collapsed="1"/>
    <col min="6" max="6" width="18.36328125" customWidth="1" collapsed="1"/>
  </cols>
  <sheetData>
    <row r="1" spans="1:6" ht="25" customHeight="1" x14ac:dyDescent="0.35">
      <c r="A1" s="1" t="s">
        <v>2</v>
      </c>
      <c r="B1" s="15" t="s">
        <v>81</v>
      </c>
      <c r="C1" s="1" t="s">
        <v>105</v>
      </c>
      <c r="D1" s="15" t="s">
        <v>82</v>
      </c>
      <c r="E1" s="1" t="s">
        <v>83</v>
      </c>
      <c r="F1" s="1" t="s">
        <v>84</v>
      </c>
    </row>
    <row r="2" spans="1:6" ht="22" customHeight="1" x14ac:dyDescent="0.35">
      <c r="A2" t="s">
        <v>33</v>
      </c>
      <c r="B2" s="6" t="s">
        <v>85</v>
      </c>
      <c r="C2" s="16"/>
      <c r="D2" s="16"/>
      <c r="E2" t="b">
        <f>D2=B2</f>
        <v>0</v>
      </c>
      <c r="F2">
        <f>B2-D2</f>
        <v>4231.6000000000004</v>
      </c>
    </row>
    <row r="3" spans="1:6" ht="22" customHeight="1" x14ac:dyDescent="0.35">
      <c r="A3" t="s">
        <v>62</v>
      </c>
      <c r="B3" s="6" t="s">
        <v>86</v>
      </c>
      <c r="C3" s="16"/>
      <c r="D3" s="16"/>
      <c r="E3" t="b">
        <f t="shared" ref="E3:E11" si="0">D3=B3</f>
        <v>0</v>
      </c>
      <c r="F3">
        <f t="shared" ref="F3:F11" si="1">B3-D3</f>
        <v>2997.82</v>
      </c>
    </row>
    <row r="4" spans="1:6" ht="22" customHeight="1" x14ac:dyDescent="0.35">
      <c r="A4" t="s">
        <v>69</v>
      </c>
      <c r="B4" s="6" t="s">
        <v>87</v>
      </c>
      <c r="C4" s="16" t="s">
        <v>108</v>
      </c>
      <c r="D4" s="16" t="s">
        <v>106</v>
      </c>
      <c r="E4" t="b">
        <f t="shared" si="0"/>
        <v>0</v>
      </c>
      <c r="F4">
        <f t="shared" si="1"/>
        <v>914.13000000000011</v>
      </c>
    </row>
    <row r="5" spans="1:6" ht="22" customHeight="1" x14ac:dyDescent="0.35">
      <c r="A5" t="s">
        <v>73</v>
      </c>
      <c r="B5" s="6" t="s">
        <v>88</v>
      </c>
      <c r="C5" s="16" t="s">
        <v>107</v>
      </c>
      <c r="D5" s="16" t="s">
        <v>106</v>
      </c>
      <c r="E5" t="b">
        <f t="shared" si="0"/>
        <v>0</v>
      </c>
      <c r="F5">
        <f t="shared" si="1"/>
        <v>-489.66000000000008</v>
      </c>
    </row>
    <row r="6" spans="1:6" ht="22" customHeight="1" x14ac:dyDescent="0.35">
      <c r="A6" t="s">
        <v>77</v>
      </c>
      <c r="B6" s="6" t="s">
        <v>89</v>
      </c>
      <c r="C6" s="16" t="s">
        <v>109</v>
      </c>
      <c r="D6" s="16" t="s">
        <v>106</v>
      </c>
      <c r="E6" t="b">
        <f t="shared" si="0"/>
        <v>0</v>
      </c>
      <c r="F6">
        <f t="shared" si="1"/>
        <v>289.57000000000016</v>
      </c>
    </row>
    <row r="7" spans="1:6" ht="22" customHeight="1" x14ac:dyDescent="0.35">
      <c r="A7" t="s">
        <v>90</v>
      </c>
      <c r="B7" s="6" t="s">
        <v>91</v>
      </c>
      <c r="C7" s="16"/>
      <c r="D7" s="16"/>
      <c r="E7" t="b">
        <f t="shared" si="0"/>
        <v>0</v>
      </c>
      <c r="F7">
        <f t="shared" si="1"/>
        <v>2891.62</v>
      </c>
    </row>
    <row r="8" spans="1:6" ht="22" customHeight="1" x14ac:dyDescent="0.35">
      <c r="A8" t="s">
        <v>92</v>
      </c>
      <c r="B8" s="6" t="s">
        <v>93</v>
      </c>
      <c r="C8" s="16"/>
      <c r="D8" s="16"/>
      <c r="E8" t="b">
        <f t="shared" si="0"/>
        <v>0</v>
      </c>
      <c r="F8">
        <f t="shared" si="1"/>
        <v>955.23</v>
      </c>
    </row>
    <row r="9" spans="1:6" ht="22" customHeight="1" x14ac:dyDescent="0.35">
      <c r="A9" t="s">
        <v>94</v>
      </c>
      <c r="B9" s="6" t="s">
        <v>95</v>
      </c>
      <c r="C9" s="16"/>
      <c r="D9" s="16"/>
      <c r="E9" t="b">
        <f t="shared" si="0"/>
        <v>0</v>
      </c>
      <c r="F9">
        <f t="shared" si="1"/>
        <v>900.23</v>
      </c>
    </row>
    <row r="10" spans="1:6" ht="22" customHeight="1" x14ac:dyDescent="0.35">
      <c r="A10" t="s">
        <v>96</v>
      </c>
      <c r="B10" s="6" t="s">
        <v>97</v>
      </c>
      <c r="C10" s="16"/>
      <c r="D10" s="16"/>
      <c r="E10" t="b">
        <f t="shared" si="0"/>
        <v>0</v>
      </c>
      <c r="F10">
        <f t="shared" si="1"/>
        <v>2122.56</v>
      </c>
    </row>
    <row r="11" spans="1:6" ht="22" customHeight="1" x14ac:dyDescent="0.35">
      <c r="A11" t="s">
        <v>98</v>
      </c>
      <c r="B11" s="6" t="s">
        <v>99</v>
      </c>
      <c r="C11" s="16"/>
      <c r="D11" s="16"/>
      <c r="E11" t="b">
        <f t="shared" si="0"/>
        <v>0</v>
      </c>
      <c r="F11">
        <f t="shared" si="1"/>
        <v>3232.02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B1AE7-6B13-4C14-9012-F3BF9420044E}">
  <dimension ref="A1:AF7"/>
  <sheetViews>
    <sheetView workbookViewId="0">
      <selection activeCell="C11" sqref="C11"/>
    </sheetView>
  </sheetViews>
  <sheetFormatPr defaultRowHeight="14.5" x14ac:dyDescent="0.35"/>
  <cols>
    <col min="1" max="1" width="13.26953125" customWidth="1" collapsed="1"/>
    <col min="2" max="2" width="16.90625" customWidth="1"/>
    <col min="3" max="3" width="22.36328125" customWidth="1"/>
    <col min="4" max="4" width="22.08984375" customWidth="1"/>
    <col min="5" max="5" width="10.81640625" customWidth="1"/>
    <col min="6" max="6" width="13.26953125" customWidth="1"/>
    <col min="7" max="7" width="19.54296875" customWidth="1"/>
    <col min="8" max="8" width="25.453125" customWidth="1" collapsed="1"/>
    <col min="19" max="19" width="13.26953125" customWidth="1" collapsed="1"/>
    <col min="20" max="20" width="14.54296875" customWidth="1" collapsed="1"/>
    <col min="21" max="21" width="19.08984375" customWidth="1" collapsed="1"/>
    <col min="24" max="24" width="12.36328125" customWidth="1" collapsed="1"/>
    <col min="25" max="25" width="14.90625" customWidth="1" collapsed="1"/>
  </cols>
  <sheetData>
    <row r="1" spans="1:32" x14ac:dyDescent="0.3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s">
        <v>1</v>
      </c>
      <c r="AA1" s="1"/>
      <c r="AB1" s="1"/>
      <c r="AC1" s="14"/>
      <c r="AD1" s="14"/>
      <c r="AE1" s="14"/>
      <c r="AF1" s="14"/>
    </row>
    <row r="2" spans="1:32" x14ac:dyDescent="0.35">
      <c r="A2" s="2" t="s">
        <v>2</v>
      </c>
      <c r="B2" s="2" t="s">
        <v>153</v>
      </c>
      <c r="C2" s="2" t="s">
        <v>154</v>
      </c>
      <c r="D2" s="2" t="s">
        <v>166</v>
      </c>
      <c r="E2" s="2" t="s">
        <v>157</v>
      </c>
      <c r="F2" s="2" t="s">
        <v>167</v>
      </c>
      <c r="G2" s="2" t="s">
        <v>168</v>
      </c>
      <c r="H2" s="2"/>
      <c r="I2" s="2"/>
      <c r="J2" s="2"/>
      <c r="K2" s="2"/>
      <c r="L2" s="2"/>
      <c r="M2" s="2"/>
      <c r="N2" s="2"/>
      <c r="O2" s="3"/>
      <c r="P2" s="3"/>
      <c r="Q2" s="3"/>
      <c r="R2" s="3"/>
      <c r="S2" s="4"/>
      <c r="T2" s="3"/>
      <c r="U2" s="3"/>
      <c r="V2" s="4"/>
      <c r="W2" s="4"/>
      <c r="X2" s="3"/>
      <c r="Y2" s="3"/>
      <c r="Z2" s="3"/>
      <c r="AA2" s="3"/>
      <c r="AB2" s="3"/>
      <c r="AC2" s="3"/>
      <c r="AD2" s="3"/>
      <c r="AE2" s="3"/>
      <c r="AF2" s="3"/>
    </row>
    <row r="3" spans="1:32" x14ac:dyDescent="0.35">
      <c r="A3" s="5" t="s">
        <v>33</v>
      </c>
      <c r="B3" s="6" t="s">
        <v>178</v>
      </c>
      <c r="C3" s="6" t="s">
        <v>169</v>
      </c>
      <c r="D3" s="6" t="s">
        <v>170</v>
      </c>
      <c r="E3" s="5" t="s">
        <v>171</v>
      </c>
      <c r="F3" s="5" t="s">
        <v>172</v>
      </c>
      <c r="G3" s="5" t="s">
        <v>173</v>
      </c>
      <c r="H3" s="7"/>
      <c r="I3" s="8"/>
      <c r="J3" s="9"/>
      <c r="K3" s="8"/>
      <c r="L3" s="9"/>
      <c r="M3" s="10"/>
      <c r="N3" s="9"/>
      <c r="O3" s="8"/>
      <c r="P3" s="8"/>
      <c r="Q3" s="8"/>
      <c r="R3" s="8"/>
      <c r="S3" s="8"/>
      <c r="T3" s="11"/>
      <c r="U3" s="8"/>
      <c r="V3" s="12"/>
      <c r="W3" s="12"/>
      <c r="X3" s="9"/>
      <c r="Y3" s="9"/>
      <c r="Z3" s="13"/>
      <c r="AA3" s="8"/>
      <c r="AB3" s="9"/>
      <c r="AC3" s="9"/>
      <c r="AD3" s="9"/>
      <c r="AE3" s="9"/>
      <c r="AF3" s="9"/>
    </row>
    <row r="4" spans="1:32" x14ac:dyDescent="0.35">
      <c r="A4" s="5" t="s">
        <v>62</v>
      </c>
      <c r="B4" s="6" t="s">
        <v>174</v>
      </c>
      <c r="C4" s="6" t="s">
        <v>169</v>
      </c>
      <c r="D4" s="6" t="s">
        <v>170</v>
      </c>
      <c r="E4" s="5" t="s">
        <v>171</v>
      </c>
      <c r="F4" s="5" t="s">
        <v>172</v>
      </c>
      <c r="G4" s="5" t="s">
        <v>173</v>
      </c>
      <c r="H4" s="7"/>
      <c r="I4" s="8"/>
      <c r="J4" s="9"/>
      <c r="K4" s="8"/>
      <c r="L4" s="9"/>
      <c r="M4" s="10"/>
      <c r="N4" s="9"/>
      <c r="O4" s="8"/>
      <c r="P4" s="8"/>
      <c r="Q4" s="8"/>
      <c r="R4" s="8"/>
      <c r="S4" s="8"/>
      <c r="T4" s="11"/>
      <c r="U4" s="8"/>
      <c r="V4" s="12"/>
      <c r="W4" s="12"/>
      <c r="X4" s="9"/>
      <c r="Y4" s="9"/>
      <c r="Z4" s="13"/>
      <c r="AA4" s="8"/>
      <c r="AB4" s="9"/>
      <c r="AC4" s="9"/>
      <c r="AD4" s="9"/>
      <c r="AE4" s="9"/>
      <c r="AF4" s="9"/>
    </row>
    <row r="5" spans="1:32" x14ac:dyDescent="0.35">
      <c r="A5" s="5" t="s">
        <v>69</v>
      </c>
      <c r="B5" s="6" t="s">
        <v>175</v>
      </c>
      <c r="C5" s="6" t="s">
        <v>169</v>
      </c>
      <c r="D5" s="6" t="s">
        <v>170</v>
      </c>
      <c r="E5" s="5" t="s">
        <v>171</v>
      </c>
      <c r="F5" s="5" t="s">
        <v>172</v>
      </c>
      <c r="G5" s="5" t="s">
        <v>173</v>
      </c>
      <c r="H5" s="7"/>
      <c r="I5" s="8"/>
      <c r="J5" s="9"/>
      <c r="K5" s="8"/>
      <c r="L5" s="9"/>
      <c r="M5" s="10"/>
      <c r="N5" s="9"/>
      <c r="O5" s="8"/>
      <c r="P5" s="8"/>
      <c r="Q5" s="8"/>
      <c r="R5" s="8"/>
      <c r="S5" s="8"/>
      <c r="T5" s="11"/>
      <c r="U5" s="8"/>
      <c r="V5" s="12"/>
      <c r="W5" s="12"/>
      <c r="X5" s="9"/>
      <c r="Y5" s="9"/>
      <c r="Z5" s="13"/>
      <c r="AA5" s="8"/>
      <c r="AB5" s="9"/>
      <c r="AC5" s="9"/>
      <c r="AD5" s="9"/>
      <c r="AE5" s="9"/>
      <c r="AF5" s="9"/>
    </row>
    <row r="6" spans="1:32" x14ac:dyDescent="0.35">
      <c r="A6" s="5" t="s">
        <v>73</v>
      </c>
      <c r="B6" s="6" t="s">
        <v>176</v>
      </c>
      <c r="C6" s="6" t="s">
        <v>169</v>
      </c>
      <c r="D6" s="6" t="s">
        <v>170</v>
      </c>
      <c r="E6" s="5" t="s">
        <v>171</v>
      </c>
      <c r="F6" s="5" t="s">
        <v>172</v>
      </c>
      <c r="G6" s="5" t="s">
        <v>173</v>
      </c>
      <c r="H6" s="7"/>
      <c r="I6" s="8"/>
      <c r="J6" s="9"/>
      <c r="K6" s="8"/>
      <c r="L6" s="9"/>
      <c r="M6" s="10"/>
      <c r="N6" s="9"/>
      <c r="O6" s="8"/>
      <c r="P6" s="8"/>
      <c r="Q6" s="8"/>
      <c r="R6" s="8"/>
      <c r="S6" s="8"/>
      <c r="T6" s="11"/>
      <c r="U6" s="8"/>
      <c r="V6" s="12"/>
      <c r="W6" s="12"/>
      <c r="X6" s="9"/>
      <c r="Y6" s="9"/>
      <c r="Z6" s="13"/>
      <c r="AA6" s="8"/>
      <c r="AB6" s="9"/>
      <c r="AC6" s="9"/>
      <c r="AD6" s="9"/>
      <c r="AE6" s="9"/>
      <c r="AF6" s="9"/>
    </row>
    <row r="7" spans="1:32" x14ac:dyDescent="0.35">
      <c r="A7" s="5" t="s">
        <v>77</v>
      </c>
      <c r="B7" s="6" t="s">
        <v>177</v>
      </c>
      <c r="C7" s="6" t="s">
        <v>169</v>
      </c>
      <c r="D7" s="6" t="s">
        <v>170</v>
      </c>
      <c r="E7" s="5" t="s">
        <v>171</v>
      </c>
      <c r="F7" s="5" t="s">
        <v>172</v>
      </c>
      <c r="G7" s="5" t="s">
        <v>173</v>
      </c>
      <c r="H7" s="7"/>
      <c r="I7" s="8"/>
      <c r="J7" s="9"/>
      <c r="K7" s="8"/>
      <c r="L7" s="9"/>
      <c r="M7" s="10"/>
      <c r="N7" s="9"/>
      <c r="O7" s="8"/>
      <c r="P7" s="8"/>
      <c r="Q7" s="8"/>
      <c r="R7" s="8"/>
      <c r="S7" s="8"/>
      <c r="T7" s="11"/>
      <c r="U7" s="8"/>
      <c r="V7" s="12"/>
      <c r="W7" s="12"/>
      <c r="X7" s="9"/>
      <c r="Y7" s="9"/>
      <c r="Z7" s="13"/>
      <c r="AA7" s="8"/>
      <c r="AB7" s="9"/>
      <c r="AC7" s="9"/>
      <c r="AD7" s="9"/>
      <c r="AE7" s="9"/>
      <c r="AF7" s="9"/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Policy_DataDStatus</vt:lpstr>
      <vt:lpstr>Policy_Data</vt:lpstr>
      <vt:lpstr>Policy_DataPAAge</vt:lpstr>
      <vt:lpstr>Policy_Correction_Endt</vt:lpstr>
      <vt:lpstr>Sheet1</vt:lpstr>
      <vt:lpstr>Policy_LimiChange_Endt</vt:lpstr>
      <vt:lpstr>Results</vt:lpstr>
      <vt:lpstr>Policy_DataPA_Cancelation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Marko Djokovic</dc:creator>
  <cp:lastModifiedBy>Goran Milosavljevic</cp:lastModifiedBy>
  <dcterms:created xsi:type="dcterms:W3CDTF">2015-06-05T18:17:20Z</dcterms:created>
  <dcterms:modified xsi:type="dcterms:W3CDTF">2026-01-18T15:45:38Z</dcterms:modified>
</cp:coreProperties>
</file>